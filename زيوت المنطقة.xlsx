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98EA15BF-9E15-45B7-A872-6C19D109FBD2}" xr6:coauthVersionLast="47" xr6:coauthVersionMax="47" xr10:uidLastSave="{00000000-0000-0000-0000-000000000000}"/>
  <bookViews>
    <workbookView xWindow="-120" yWindow="-120" windowWidth="20730" windowHeight="11040" tabRatio="836" xr2:uid="{00000000-000D-0000-FFFF-FFFF00000000}"/>
  </bookViews>
  <sheets>
    <sheet name="الشمالي" sheetId="28" r:id="rId1"/>
    <sheet name="المنيا" sheetId="26" r:id="rId2"/>
    <sheet name="اسيوط الوادي" sheetId="29" r:id="rId3"/>
  </sheets>
  <definedNames>
    <definedName name="_xlnm._FilterDatabase" localSheetId="2" hidden="1">'اسيوط الوادي'!$A$1:$S$1</definedName>
    <definedName name="_xlnm._FilterDatabase" localSheetId="0" hidden="1">الشمالي!$U$1:$AA$1</definedName>
    <definedName name="_xlnm._FilterDatabase" localSheetId="1" hidden="1">المنيا!$A$1:$R$1</definedName>
    <definedName name="_xlnm.Print_Area" localSheetId="2">'اسيوط الوادي'!$A$1:$T$175</definedName>
    <definedName name="_xlnm.Print_Area" localSheetId="0">الشمالي!$A$1:$T$126</definedName>
    <definedName name="_xlnm.Print_Area" localSheetId="1">الجدول1[[#All],[المحطة]:[عمود1]]</definedName>
    <definedName name="_xlnm.Print_Titles" localSheetId="2">'اسيوط الوادي'!$1:$1</definedName>
    <definedName name="_xlnm.Print_Titles" localSheetId="0">الشمالي!$1:$1</definedName>
    <definedName name="_xlnm.Print_Titles" localSheetId="1">المنيا!$1:$1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3" i="28" l="1"/>
  <c r="Y113" i="28"/>
  <c r="X113" i="28"/>
  <c r="W113" i="28"/>
  <c r="U113" i="28" a="1"/>
  <c r="U113" i="28" s="1"/>
  <c r="T113" i="28" s="1"/>
  <c r="AA113" i="28" s="1"/>
  <c r="I113" i="28"/>
  <c r="F113" i="28"/>
  <c r="Z110" i="28"/>
  <c r="Y110" i="28"/>
  <c r="X110" i="28"/>
  <c r="W110" i="28"/>
  <c r="U110" i="28" a="1"/>
  <c r="U110" i="28" s="1"/>
  <c r="T110" i="28" s="1"/>
  <c r="AA110" i="28" s="1"/>
  <c r="I110" i="28"/>
  <c r="F110" i="28"/>
  <c r="Z130" i="29"/>
  <c r="Y130" i="29"/>
  <c r="X130" i="29"/>
  <c r="W130" i="29"/>
  <c r="U130" i="29" a="1"/>
  <c r="U130" i="29" s="1"/>
  <c r="T130" i="29" s="1"/>
  <c r="AA130" i="29" s="1"/>
  <c r="I130" i="29"/>
  <c r="F130" i="29"/>
  <c r="F129" i="29"/>
  <c r="I129" i="29"/>
  <c r="U129" i="29" a="1"/>
  <c r="U129" i="29" s="1"/>
  <c r="T129" i="29" s="1"/>
  <c r="AA129" i="29" s="1"/>
  <c r="W129" i="29"/>
  <c r="X129" i="29"/>
  <c r="Y129" i="29"/>
  <c r="Z129" i="29"/>
  <c r="Z20" i="28"/>
  <c r="Y20" i="28"/>
  <c r="X20" i="28"/>
  <c r="W20" i="28"/>
  <c r="U20" i="28" a="1"/>
  <c r="U20" i="28" s="1"/>
  <c r="T20" i="28" s="1"/>
  <c r="AA20" i="28" s="1"/>
  <c r="I20" i="28"/>
  <c r="F20" i="28"/>
  <c r="Z46" i="29"/>
  <c r="Y46" i="29"/>
  <c r="X46" i="29"/>
  <c r="W46" i="29"/>
  <c r="U46" i="29" a="1"/>
  <c r="U46" i="29" s="1"/>
  <c r="T46" i="29" s="1"/>
  <c r="AA46" i="29" s="1"/>
  <c r="I46" i="29"/>
  <c r="F46" i="29"/>
  <c r="Z43" i="29"/>
  <c r="Y43" i="29"/>
  <c r="X43" i="29"/>
  <c r="W43" i="29"/>
  <c r="U43" i="29" a="1"/>
  <c r="U43" i="29" s="1"/>
  <c r="T43" i="29" s="1"/>
  <c r="AA43" i="29" s="1"/>
  <c r="I43" i="29"/>
  <c r="F43" i="29"/>
  <c r="Z61" i="29"/>
  <c r="Y61" i="29"/>
  <c r="X61" i="29"/>
  <c r="W61" i="29"/>
  <c r="U61" i="29" a="1"/>
  <c r="U61" i="29" s="1"/>
  <c r="T61" i="29" s="1"/>
  <c r="AA61" i="29" s="1"/>
  <c r="I61" i="29"/>
  <c r="F61" i="29"/>
  <c r="Z60" i="29"/>
  <c r="Y60" i="29"/>
  <c r="X60" i="29"/>
  <c r="W60" i="29"/>
  <c r="U60" i="29" a="1"/>
  <c r="U60" i="29" s="1"/>
  <c r="T60" i="29" s="1"/>
  <c r="AA60" i="29" s="1"/>
  <c r="I60" i="29"/>
  <c r="F60" i="29"/>
  <c r="Z90" i="29"/>
  <c r="Y90" i="29"/>
  <c r="X90" i="29"/>
  <c r="W90" i="29"/>
  <c r="U90" i="29" a="1"/>
  <c r="U90" i="29" s="1"/>
  <c r="T90" i="29" s="1"/>
  <c r="AA90" i="29" s="1"/>
  <c r="I90" i="29"/>
  <c r="F90" i="29"/>
  <c r="Z22" i="29"/>
  <c r="Y22" i="29"/>
  <c r="X22" i="29"/>
  <c r="W22" i="29"/>
  <c r="U22" i="29" a="1"/>
  <c r="U22" i="29" s="1"/>
  <c r="T22" i="29" s="1"/>
  <c r="AA22" i="29" s="1"/>
  <c r="I22" i="29"/>
  <c r="F22" i="29"/>
  <c r="Z23" i="29"/>
  <c r="Y23" i="29"/>
  <c r="X23" i="29"/>
  <c r="W23" i="29"/>
  <c r="U23" i="29" a="1"/>
  <c r="U23" i="29" s="1"/>
  <c r="T23" i="29" s="1"/>
  <c r="AA23" i="29" s="1"/>
  <c r="I23" i="29"/>
  <c r="F23" i="29"/>
  <c r="Z24" i="29"/>
  <c r="Y24" i="29"/>
  <c r="X24" i="29"/>
  <c r="W24" i="29"/>
  <c r="U24" i="29" a="1"/>
  <c r="U24" i="29" s="1"/>
  <c r="T24" i="29" s="1"/>
  <c r="AA24" i="29" s="1"/>
  <c r="I24" i="29"/>
  <c r="F24" i="29"/>
  <c r="Z166" i="29"/>
  <c r="Y166" i="29"/>
  <c r="X166" i="29"/>
  <c r="W166" i="29"/>
  <c r="U166" i="29" a="1"/>
  <c r="U166" i="29" s="1"/>
  <c r="T166" i="29" s="1"/>
  <c r="AA166" i="29" s="1"/>
  <c r="I166" i="29"/>
  <c r="F166" i="29"/>
  <c r="Z168" i="29"/>
  <c r="Y168" i="29"/>
  <c r="X168" i="29"/>
  <c r="W168" i="29"/>
  <c r="U168" i="29" a="1"/>
  <c r="U168" i="29" s="1"/>
  <c r="T168" i="29" s="1"/>
  <c r="AA168" i="29" s="1"/>
  <c r="I168" i="29"/>
  <c r="F168" i="29"/>
  <c r="Z35" i="29"/>
  <c r="Y35" i="29"/>
  <c r="X35" i="29"/>
  <c r="W35" i="29"/>
  <c r="U35" i="29" a="1"/>
  <c r="U35" i="29" s="1"/>
  <c r="T35" i="29" s="1"/>
  <c r="AA35" i="29" s="1"/>
  <c r="I35" i="29"/>
  <c r="F35" i="29"/>
  <c r="Z15" i="29"/>
  <c r="Y15" i="29"/>
  <c r="X15" i="29"/>
  <c r="W15" i="29"/>
  <c r="U15" i="29" a="1"/>
  <c r="U15" i="29" s="1"/>
  <c r="T15" i="29" s="1"/>
  <c r="AA15" i="29" s="1"/>
  <c r="I15" i="29"/>
  <c r="F15" i="29"/>
  <c r="Z32" i="29"/>
  <c r="Y32" i="29"/>
  <c r="X32" i="29"/>
  <c r="W32" i="29"/>
  <c r="U32" i="29" a="1"/>
  <c r="U32" i="29" s="1"/>
  <c r="T32" i="29" s="1"/>
  <c r="AA32" i="29" s="1"/>
  <c r="I32" i="29"/>
  <c r="F32" i="29"/>
  <c r="Y7" i="26"/>
  <c r="X7" i="26"/>
  <c r="W7" i="26"/>
  <c r="V7" i="26"/>
  <c r="T7" i="26" a="1"/>
  <c r="T7" i="26" s="1"/>
  <c r="S7" i="26" s="1"/>
  <c r="Z7" i="26" s="1"/>
  <c r="H7" i="26"/>
  <c r="E7" i="26"/>
  <c r="Y114" i="26"/>
  <c r="X114" i="26"/>
  <c r="W114" i="26"/>
  <c r="V114" i="26"/>
  <c r="T114" i="26" a="1"/>
  <c r="T114" i="26" s="1"/>
  <c r="S114" i="26" s="1"/>
  <c r="Z114" i="26" s="1"/>
  <c r="H114" i="26"/>
  <c r="E114" i="26"/>
  <c r="Y109" i="26"/>
  <c r="X109" i="26"/>
  <c r="W109" i="26"/>
  <c r="V109" i="26"/>
  <c r="T109" i="26" a="1"/>
  <c r="T109" i="26" s="1"/>
  <c r="S109" i="26" s="1"/>
  <c r="Z109" i="26" s="1"/>
  <c r="H109" i="26"/>
  <c r="E109" i="26"/>
  <c r="Y106" i="26"/>
  <c r="X106" i="26"/>
  <c r="W106" i="26"/>
  <c r="V106" i="26"/>
  <c r="T106" i="26" a="1"/>
  <c r="T106" i="26" s="1"/>
  <c r="S106" i="26" s="1"/>
  <c r="Z106" i="26" s="1"/>
  <c r="H106" i="26"/>
  <c r="E106" i="26"/>
  <c r="Y24" i="26"/>
  <c r="X24" i="26"/>
  <c r="W24" i="26"/>
  <c r="V24" i="26"/>
  <c r="T24" i="26" a="1"/>
  <c r="T24" i="26" s="1"/>
  <c r="S24" i="26" s="1"/>
  <c r="Z24" i="26" s="1"/>
  <c r="H24" i="26"/>
  <c r="E24" i="26"/>
  <c r="Y45" i="26"/>
  <c r="X45" i="26"/>
  <c r="W45" i="26"/>
  <c r="V45" i="26"/>
  <c r="T45" i="26" a="1"/>
  <c r="T45" i="26" s="1"/>
  <c r="S45" i="26" s="1"/>
  <c r="Z45" i="26" s="1"/>
  <c r="H45" i="26"/>
  <c r="E45" i="26"/>
  <c r="Y126" i="26"/>
  <c r="X126" i="26"/>
  <c r="W126" i="26"/>
  <c r="V126" i="26"/>
  <c r="T126" i="26" a="1"/>
  <c r="T126" i="26" s="1"/>
  <c r="S126" i="26" s="1"/>
  <c r="Z126" i="26" s="1"/>
  <c r="H126" i="26"/>
  <c r="E126" i="26"/>
  <c r="F2" i="28"/>
  <c r="I2" i="28"/>
  <c r="U2" i="28" a="1"/>
  <c r="U2" i="28" s="1"/>
  <c r="T2" i="28" s="1"/>
  <c r="AA2" i="28" s="1"/>
  <c r="W2" i="28"/>
  <c r="X2" i="28"/>
  <c r="Y2" i="28"/>
  <c r="Z2" i="28"/>
  <c r="F90" i="28"/>
  <c r="I90" i="28"/>
  <c r="U90" i="28" a="1"/>
  <c r="U90" i="28" s="1"/>
  <c r="T90" i="28" s="1"/>
  <c r="AA90" i="28" s="1"/>
  <c r="W90" i="28"/>
  <c r="X90" i="28"/>
  <c r="Y90" i="28"/>
  <c r="Z90" i="28"/>
  <c r="Z111" i="28"/>
  <c r="Y111" i="28"/>
  <c r="X111" i="28"/>
  <c r="W111" i="28"/>
  <c r="U111" i="28" a="1"/>
  <c r="U111" i="28" s="1"/>
  <c r="T111" i="28" s="1"/>
  <c r="AA111" i="28" s="1"/>
  <c r="I111" i="28"/>
  <c r="F111" i="28"/>
  <c r="Z126" i="28"/>
  <c r="Y126" i="28"/>
  <c r="X126" i="28"/>
  <c r="W126" i="28"/>
  <c r="U126" i="28" a="1"/>
  <c r="U126" i="28" s="1"/>
  <c r="T126" i="28" s="1"/>
  <c r="AA126" i="28" s="1"/>
  <c r="I126" i="28"/>
  <c r="F126" i="28"/>
  <c r="Z125" i="28"/>
  <c r="Y125" i="28"/>
  <c r="X125" i="28"/>
  <c r="W125" i="28"/>
  <c r="U125" i="28" a="1"/>
  <c r="U125" i="28" s="1"/>
  <c r="T125" i="28" s="1"/>
  <c r="AA125" i="28" s="1"/>
  <c r="I125" i="28"/>
  <c r="F125" i="28"/>
  <c r="Z120" i="28"/>
  <c r="Y120" i="28"/>
  <c r="X120" i="28"/>
  <c r="W120" i="28"/>
  <c r="U120" i="28" a="1"/>
  <c r="U120" i="28" s="1"/>
  <c r="T120" i="28" s="1"/>
  <c r="AA120" i="28" s="1"/>
  <c r="I120" i="28"/>
  <c r="F120" i="28"/>
  <c r="Z112" i="28"/>
  <c r="Y112" i="28"/>
  <c r="X112" i="28"/>
  <c r="W112" i="28"/>
  <c r="U112" i="28" a="1"/>
  <c r="U112" i="28" s="1"/>
  <c r="T112" i="28" s="1"/>
  <c r="AA112" i="28" s="1"/>
  <c r="I112" i="28"/>
  <c r="F112" i="28"/>
  <c r="Z109" i="28"/>
  <c r="Y109" i="28"/>
  <c r="X109" i="28"/>
  <c r="W109" i="28"/>
  <c r="U109" i="28" a="1"/>
  <c r="U109" i="28" s="1"/>
  <c r="T109" i="28" s="1"/>
  <c r="AA109" i="28" s="1"/>
  <c r="I109" i="28"/>
  <c r="F109" i="28"/>
  <c r="Z107" i="28"/>
  <c r="Y107" i="28"/>
  <c r="X107" i="28"/>
  <c r="W107" i="28"/>
  <c r="U107" i="28" a="1"/>
  <c r="U107" i="28" s="1"/>
  <c r="T107" i="28" s="1"/>
  <c r="AA107" i="28" s="1"/>
  <c r="I107" i="28"/>
  <c r="F107" i="28"/>
  <c r="Z104" i="28"/>
  <c r="Y104" i="28"/>
  <c r="X104" i="28"/>
  <c r="W104" i="28"/>
  <c r="U104" i="28" a="1"/>
  <c r="U104" i="28" s="1"/>
  <c r="T104" i="28" s="1"/>
  <c r="AA104" i="28" s="1"/>
  <c r="I104" i="28"/>
  <c r="F104" i="28"/>
  <c r="Z26" i="28"/>
  <c r="Y26" i="28"/>
  <c r="X26" i="28"/>
  <c r="W26" i="28"/>
  <c r="U26" i="28" a="1"/>
  <c r="U26" i="28" s="1"/>
  <c r="T26" i="28" s="1"/>
  <c r="AA26" i="28" s="1"/>
  <c r="I26" i="28"/>
  <c r="F26" i="28"/>
  <c r="Z28" i="29"/>
  <c r="Y28" i="29"/>
  <c r="X28" i="29"/>
  <c r="W28" i="29"/>
  <c r="U28" i="29" a="1"/>
  <c r="U28" i="29" s="1"/>
  <c r="T28" i="29" s="1"/>
  <c r="AA28" i="29" s="1"/>
  <c r="I28" i="29"/>
  <c r="F28" i="29"/>
  <c r="Z36" i="29"/>
  <c r="Y36" i="29"/>
  <c r="X36" i="29"/>
  <c r="W36" i="29"/>
  <c r="U36" i="29" a="1"/>
  <c r="U36" i="29" s="1"/>
  <c r="T36" i="29" s="1"/>
  <c r="AA36" i="29" s="1"/>
  <c r="I36" i="29"/>
  <c r="F36" i="29"/>
  <c r="Z9" i="29"/>
  <c r="Y9" i="29"/>
  <c r="X9" i="29"/>
  <c r="W9" i="29"/>
  <c r="U9" i="29" a="1"/>
  <c r="U9" i="29" s="1"/>
  <c r="T9" i="29" s="1"/>
  <c r="AA9" i="29" s="1"/>
  <c r="I9" i="29"/>
  <c r="F9" i="29"/>
  <c r="Z73" i="29"/>
  <c r="Y73" i="29"/>
  <c r="X73" i="29"/>
  <c r="W73" i="29"/>
  <c r="U73" i="29" a="1"/>
  <c r="U73" i="29" s="1"/>
  <c r="T73" i="29" s="1"/>
  <c r="AA73" i="29" s="1"/>
  <c r="I73" i="29"/>
  <c r="F73" i="29"/>
  <c r="Z72" i="29"/>
  <c r="Y72" i="29"/>
  <c r="X72" i="29"/>
  <c r="W72" i="29"/>
  <c r="U72" i="29" a="1"/>
  <c r="U72" i="29" s="1"/>
  <c r="T72" i="29" s="1"/>
  <c r="AA72" i="29" s="1"/>
  <c r="I72" i="29"/>
  <c r="F72" i="29"/>
  <c r="I105" i="29"/>
  <c r="Z105" i="29"/>
  <c r="Y105" i="29"/>
  <c r="X105" i="29"/>
  <c r="W105" i="29"/>
  <c r="U105" i="29" a="1"/>
  <c r="U105" i="29" s="1"/>
  <c r="T105" i="29" s="1"/>
  <c r="AA105" i="29" s="1"/>
  <c r="F105" i="29"/>
  <c r="Z104" i="29"/>
  <c r="Y104" i="29"/>
  <c r="X104" i="29"/>
  <c r="W104" i="29"/>
  <c r="U104" i="29" a="1"/>
  <c r="U104" i="29" s="1"/>
  <c r="T104" i="29" s="1"/>
  <c r="AA104" i="29" s="1"/>
  <c r="I104" i="29"/>
  <c r="F104" i="29"/>
  <c r="Z75" i="28"/>
  <c r="Y75" i="28"/>
  <c r="X75" i="28"/>
  <c r="W75" i="28"/>
  <c r="U75" i="28" a="1"/>
  <c r="U75" i="28" s="1"/>
  <c r="T75" i="28" s="1"/>
  <c r="AA75" i="28" s="1"/>
  <c r="I75" i="28"/>
  <c r="F75" i="28"/>
  <c r="Z77" i="28"/>
  <c r="Y77" i="28"/>
  <c r="X77" i="28"/>
  <c r="W77" i="28"/>
  <c r="U77" i="28" a="1"/>
  <c r="U77" i="28" s="1"/>
  <c r="T77" i="28" s="1"/>
  <c r="AA77" i="28" s="1"/>
  <c r="I77" i="28"/>
  <c r="F77" i="28"/>
  <c r="Z102" i="28"/>
  <c r="Y102" i="28"/>
  <c r="X102" i="28"/>
  <c r="W102" i="28"/>
  <c r="U102" i="28" a="1"/>
  <c r="U102" i="28" s="1"/>
  <c r="T102" i="28" s="1"/>
  <c r="AA102" i="28" s="1"/>
  <c r="I102" i="28"/>
  <c r="F102" i="28"/>
  <c r="Y120" i="26"/>
  <c r="X120" i="26"/>
  <c r="W120" i="26"/>
  <c r="V120" i="26"/>
  <c r="T120" i="26" a="1"/>
  <c r="T120" i="26" s="1"/>
  <c r="S120" i="26" s="1"/>
  <c r="Z120" i="26" s="1"/>
  <c r="H120" i="26"/>
  <c r="E120" i="26"/>
  <c r="Z31" i="29"/>
  <c r="Y31" i="29"/>
  <c r="X31" i="29"/>
  <c r="W31" i="29"/>
  <c r="U31" i="29" a="1"/>
  <c r="U31" i="29" s="1"/>
  <c r="T31" i="29" s="1"/>
  <c r="AA31" i="29" s="1"/>
  <c r="I31" i="29"/>
  <c r="F31" i="29"/>
  <c r="Z13" i="29"/>
  <c r="Y13" i="29"/>
  <c r="X13" i="29"/>
  <c r="W13" i="29"/>
  <c r="U13" i="29" a="1"/>
  <c r="U13" i="29" s="1"/>
  <c r="T13" i="29" s="1"/>
  <c r="AA13" i="29" s="1"/>
  <c r="I13" i="29"/>
  <c r="F13" i="29"/>
  <c r="Y125" i="26"/>
  <c r="X125" i="26"/>
  <c r="W125" i="26"/>
  <c r="V125" i="26"/>
  <c r="T125" i="26" a="1"/>
  <c r="T125" i="26" s="1"/>
  <c r="S125" i="26" s="1"/>
  <c r="Z125" i="26" s="1"/>
  <c r="H125" i="26"/>
  <c r="E125" i="26"/>
  <c r="Y44" i="26"/>
  <c r="X44" i="26"/>
  <c r="W44" i="26"/>
  <c r="V44" i="26"/>
  <c r="T44" i="26" a="1"/>
  <c r="T44" i="26" s="1"/>
  <c r="S44" i="26" s="1"/>
  <c r="Z44" i="26" s="1"/>
  <c r="H44" i="26"/>
  <c r="E44" i="26"/>
  <c r="Y91" i="26"/>
  <c r="X91" i="26"/>
  <c r="W91" i="26"/>
  <c r="V91" i="26"/>
  <c r="T91" i="26" a="1"/>
  <c r="T91" i="26" s="1"/>
  <c r="S91" i="26" s="1"/>
  <c r="Z91" i="26" s="1"/>
  <c r="H91" i="26"/>
  <c r="E91" i="26"/>
  <c r="Y99" i="26"/>
  <c r="X99" i="26"/>
  <c r="W99" i="26"/>
  <c r="V99" i="26"/>
  <c r="T99" i="26" a="1"/>
  <c r="T99" i="26" s="1"/>
  <c r="S99" i="26" s="1"/>
  <c r="Z99" i="26" s="1"/>
  <c r="H99" i="26"/>
  <c r="E99" i="26"/>
  <c r="Z21" i="29"/>
  <c r="Y21" i="29"/>
  <c r="X21" i="29"/>
  <c r="W21" i="29"/>
  <c r="U21" i="29" a="1"/>
  <c r="U21" i="29" s="1"/>
  <c r="T21" i="29" s="1"/>
  <c r="AA21" i="29" s="1"/>
  <c r="I21" i="29"/>
  <c r="F21" i="29"/>
  <c r="Z27" i="29"/>
  <c r="Y27" i="29"/>
  <c r="X27" i="29"/>
  <c r="W27" i="29"/>
  <c r="U27" i="29" a="1"/>
  <c r="U27" i="29" s="1"/>
  <c r="T27" i="29" s="1"/>
  <c r="AA27" i="29" s="1"/>
  <c r="I27" i="29"/>
  <c r="F27" i="29"/>
  <c r="U131" i="29" a="1"/>
  <c r="U131" i="29" s="1"/>
  <c r="T131" i="29" s="1"/>
  <c r="AA131" i="29" s="1"/>
  <c r="W131" i="29"/>
  <c r="X131" i="29"/>
  <c r="Y131" i="29"/>
  <c r="Z131" i="29"/>
  <c r="F131" i="29"/>
  <c r="I131" i="29"/>
  <c r="Z25" i="29"/>
  <c r="Y25" i="29"/>
  <c r="X25" i="29"/>
  <c r="W25" i="29"/>
  <c r="U25" i="29" a="1"/>
  <c r="U25" i="29" s="1"/>
  <c r="T25" i="29" s="1"/>
  <c r="AA25" i="29" s="1"/>
  <c r="I25" i="29"/>
  <c r="F25" i="29"/>
  <c r="Z117" i="29"/>
  <c r="Y117" i="29"/>
  <c r="X117" i="29"/>
  <c r="W117" i="29"/>
  <c r="U117" i="29" a="1"/>
  <c r="U117" i="29" s="1"/>
  <c r="T117" i="29" s="1"/>
  <c r="AA117" i="29" s="1"/>
  <c r="I117" i="29"/>
  <c r="F117" i="29"/>
  <c r="Z119" i="29"/>
  <c r="Y119" i="29"/>
  <c r="X119" i="29"/>
  <c r="W119" i="29"/>
  <c r="U119" i="29" a="1"/>
  <c r="U119" i="29" s="1"/>
  <c r="T119" i="29" s="1"/>
  <c r="AA119" i="29" s="1"/>
  <c r="I119" i="29"/>
  <c r="F119" i="29"/>
  <c r="Z120" i="29"/>
  <c r="Y120" i="29"/>
  <c r="X120" i="29"/>
  <c r="W120" i="29"/>
  <c r="U120" i="29" a="1"/>
  <c r="U120" i="29" s="1"/>
  <c r="T120" i="29" s="1"/>
  <c r="AA120" i="29" s="1"/>
  <c r="I120" i="29"/>
  <c r="F120" i="29"/>
  <c r="Z121" i="29"/>
  <c r="Y121" i="29"/>
  <c r="X121" i="29"/>
  <c r="W121" i="29"/>
  <c r="U121" i="29" a="1"/>
  <c r="U121" i="29" s="1"/>
  <c r="T121" i="29" s="1"/>
  <c r="AA121" i="29" s="1"/>
  <c r="I121" i="29"/>
  <c r="F121" i="29"/>
  <c r="Z123" i="29"/>
  <c r="Y123" i="29"/>
  <c r="X123" i="29"/>
  <c r="W123" i="29"/>
  <c r="U123" i="29" a="1"/>
  <c r="U123" i="29" s="1"/>
  <c r="T123" i="29" s="1"/>
  <c r="AA123" i="29" s="1"/>
  <c r="I123" i="29"/>
  <c r="F123" i="29"/>
  <c r="Z124" i="29"/>
  <c r="Y124" i="29"/>
  <c r="X124" i="29"/>
  <c r="W124" i="29"/>
  <c r="U124" i="29" a="1"/>
  <c r="U124" i="29" s="1"/>
  <c r="T124" i="29" s="1"/>
  <c r="AA124" i="29" s="1"/>
  <c r="I124" i="29"/>
  <c r="F124" i="29"/>
  <c r="Z87" i="29"/>
  <c r="Y87" i="29"/>
  <c r="X87" i="29"/>
  <c r="W87" i="29"/>
  <c r="U87" i="29" a="1"/>
  <c r="U87" i="29" s="1"/>
  <c r="T87" i="29" s="1"/>
  <c r="AA87" i="29" s="1"/>
  <c r="I87" i="29"/>
  <c r="F87" i="29"/>
  <c r="Z65" i="29"/>
  <c r="Y65" i="29"/>
  <c r="X65" i="29"/>
  <c r="W65" i="29"/>
  <c r="U65" i="29" a="1"/>
  <c r="U65" i="29" s="1"/>
  <c r="T65" i="29" s="1"/>
  <c r="AA65" i="29" s="1"/>
  <c r="I65" i="29"/>
  <c r="F65" i="29"/>
  <c r="Z68" i="29"/>
  <c r="Y68" i="29"/>
  <c r="X68" i="29"/>
  <c r="W68" i="29"/>
  <c r="U68" i="29" a="1"/>
  <c r="U68" i="29" s="1"/>
  <c r="T68" i="29" s="1"/>
  <c r="AA68" i="29" s="1"/>
  <c r="I68" i="29"/>
  <c r="F68" i="29"/>
  <c r="Z71" i="29"/>
  <c r="Y71" i="29"/>
  <c r="X71" i="29"/>
  <c r="W71" i="29"/>
  <c r="U71" i="29" a="1"/>
  <c r="U71" i="29" s="1"/>
  <c r="T71" i="29" s="1"/>
  <c r="AA71" i="29" s="1"/>
  <c r="I71" i="29"/>
  <c r="F71" i="29"/>
  <c r="F108" i="28"/>
  <c r="I108" i="28"/>
  <c r="U108" i="28" a="1"/>
  <c r="U108" i="28" s="1"/>
  <c r="T108" i="28" s="1"/>
  <c r="AA108" i="28" s="1"/>
  <c r="W108" i="28"/>
  <c r="X108" i="28"/>
  <c r="Y108" i="28"/>
  <c r="Z108" i="28"/>
  <c r="I45" i="28"/>
  <c r="Z45" i="28"/>
  <c r="Y45" i="28"/>
  <c r="X45" i="28"/>
  <c r="W45" i="28"/>
  <c r="U45" i="28" a="1"/>
  <c r="U45" i="28" s="1"/>
  <c r="T45" i="28" s="1"/>
  <c r="AA45" i="28" s="1"/>
  <c r="F45" i="28"/>
  <c r="Z121" i="28"/>
  <c r="Y121" i="28"/>
  <c r="X121" i="28"/>
  <c r="W121" i="28"/>
  <c r="U121" i="28" a="1"/>
  <c r="U121" i="28" s="1"/>
  <c r="T121" i="28" s="1"/>
  <c r="AA121" i="28" s="1"/>
  <c r="I121" i="28"/>
  <c r="F121" i="28"/>
  <c r="Z98" i="28"/>
  <c r="Y98" i="28"/>
  <c r="X98" i="28"/>
  <c r="W98" i="28"/>
  <c r="U98" i="28" a="1"/>
  <c r="U98" i="28" s="1"/>
  <c r="T98" i="28" s="1"/>
  <c r="AA98" i="28" s="1"/>
  <c r="I98" i="28"/>
  <c r="F98" i="28"/>
  <c r="Z103" i="28"/>
  <c r="Y103" i="28"/>
  <c r="X103" i="28"/>
  <c r="W103" i="28"/>
  <c r="U103" i="28" a="1"/>
  <c r="U103" i="28" s="1"/>
  <c r="T103" i="28" s="1"/>
  <c r="AA103" i="28" s="1"/>
  <c r="I103" i="28"/>
  <c r="F103" i="28"/>
  <c r="Z95" i="28"/>
  <c r="Y95" i="28"/>
  <c r="X95" i="28"/>
  <c r="W95" i="28"/>
  <c r="U95" i="28" a="1"/>
  <c r="U95" i="28" s="1"/>
  <c r="T95" i="28" s="1"/>
  <c r="AA95" i="28" s="1"/>
  <c r="I95" i="28"/>
  <c r="F95" i="28"/>
  <c r="Y108" i="26"/>
  <c r="X108" i="26"/>
  <c r="W108" i="26"/>
  <c r="V108" i="26"/>
  <c r="T108" i="26" a="1"/>
  <c r="T108" i="26" s="1"/>
  <c r="S108" i="26" s="1"/>
  <c r="Z108" i="26" s="1"/>
  <c r="H108" i="26"/>
  <c r="E108" i="26"/>
  <c r="Y29" i="26"/>
  <c r="X29" i="26"/>
  <c r="W29" i="26"/>
  <c r="V29" i="26"/>
  <c r="T29" i="26" a="1"/>
  <c r="T29" i="26" s="1"/>
  <c r="S29" i="26" s="1"/>
  <c r="Z29" i="26" s="1"/>
  <c r="H29" i="26"/>
  <c r="E29" i="26"/>
  <c r="Y32" i="26"/>
  <c r="X32" i="26"/>
  <c r="W32" i="26"/>
  <c r="V32" i="26"/>
  <c r="T32" i="26" a="1"/>
  <c r="T32" i="26" s="1"/>
  <c r="S32" i="26" s="1"/>
  <c r="Z32" i="26" s="1"/>
  <c r="H32" i="26"/>
  <c r="E32" i="26"/>
  <c r="E124" i="26"/>
  <c r="H124" i="26"/>
  <c r="T124" i="26" a="1"/>
  <c r="T124" i="26" s="1"/>
  <c r="S124" i="26" s="1"/>
  <c r="Z124" i="26" s="1"/>
  <c r="V124" i="26"/>
  <c r="W124" i="26"/>
  <c r="X124" i="26"/>
  <c r="Y124" i="26"/>
  <c r="Y43" i="26"/>
  <c r="X43" i="26"/>
  <c r="W43" i="26"/>
  <c r="V43" i="26"/>
  <c r="T43" i="26" a="1"/>
  <c r="T43" i="26" s="1"/>
  <c r="S43" i="26" s="1"/>
  <c r="Z43" i="26" s="1"/>
  <c r="H43" i="26"/>
  <c r="E43" i="26"/>
  <c r="Z164" i="29"/>
  <c r="Y164" i="29"/>
  <c r="X164" i="29"/>
  <c r="W164" i="29"/>
  <c r="U164" i="29" a="1"/>
  <c r="U164" i="29" s="1"/>
  <c r="T164" i="29" s="1"/>
  <c r="AA164" i="29" s="1"/>
  <c r="I164" i="29"/>
  <c r="F164" i="29"/>
  <c r="Y90" i="26"/>
  <c r="X90" i="26"/>
  <c r="W90" i="26"/>
  <c r="V90" i="26"/>
  <c r="T90" i="26" a="1"/>
  <c r="T90" i="26" s="1"/>
  <c r="S90" i="26" s="1"/>
  <c r="Z90" i="26" s="1"/>
  <c r="H90" i="26"/>
  <c r="E90" i="26"/>
  <c r="Y98" i="26"/>
  <c r="X98" i="26"/>
  <c r="W98" i="26"/>
  <c r="V98" i="26"/>
  <c r="T98" i="26" a="1"/>
  <c r="T98" i="26" s="1"/>
  <c r="S98" i="26" s="1"/>
  <c r="Z98" i="26" s="1"/>
  <c r="H98" i="26"/>
  <c r="E98" i="26"/>
  <c r="I2" i="29"/>
  <c r="I3" i="29"/>
  <c r="I4" i="29"/>
  <c r="I5" i="29"/>
  <c r="I6" i="29"/>
  <c r="I7" i="29"/>
  <c r="I8" i="29"/>
  <c r="I10" i="29"/>
  <c r="I11" i="29"/>
  <c r="I12" i="29"/>
  <c r="I14" i="29"/>
  <c r="I16" i="29"/>
  <c r="I17" i="29"/>
  <c r="I18" i="29"/>
  <c r="I19" i="29"/>
  <c r="I20" i="29"/>
  <c r="I26" i="29"/>
  <c r="I29" i="29"/>
  <c r="I30" i="29"/>
  <c r="I33" i="29"/>
  <c r="I34" i="29"/>
  <c r="I37" i="29"/>
  <c r="I38" i="29"/>
  <c r="I39" i="29"/>
  <c r="I40" i="29"/>
  <c r="I41" i="29"/>
  <c r="I42" i="29"/>
  <c r="I44" i="29"/>
  <c r="I45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2" i="29"/>
  <c r="I63" i="29"/>
  <c r="I64" i="29"/>
  <c r="I66" i="29"/>
  <c r="I67" i="29"/>
  <c r="I69" i="29"/>
  <c r="I70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Z163" i="29"/>
  <c r="Y163" i="29"/>
  <c r="X163" i="29"/>
  <c r="W163" i="29"/>
  <c r="U163" i="29" a="1"/>
  <c r="U163" i="29" s="1"/>
  <c r="T163" i="29" s="1"/>
  <c r="AA163" i="29" s="1"/>
  <c r="I163" i="29"/>
  <c r="F163" i="29"/>
  <c r="Z165" i="29"/>
  <c r="Y165" i="29"/>
  <c r="X165" i="29"/>
  <c r="W165" i="29"/>
  <c r="U165" i="29" a="1"/>
  <c r="U165" i="29" s="1"/>
  <c r="T165" i="29" s="1"/>
  <c r="AA165" i="29" s="1"/>
  <c r="I165" i="29"/>
  <c r="F165" i="29"/>
  <c r="Z167" i="29"/>
  <c r="Y167" i="29"/>
  <c r="X167" i="29"/>
  <c r="W167" i="29"/>
  <c r="U167" i="29" a="1"/>
  <c r="U167" i="29" s="1"/>
  <c r="T167" i="29" s="1"/>
  <c r="AA167" i="29" s="1"/>
  <c r="I167" i="29"/>
  <c r="F167" i="29"/>
  <c r="I118" i="29"/>
  <c r="I122" i="29"/>
  <c r="I125" i="29"/>
  <c r="I126" i="29"/>
  <c r="I127" i="29"/>
  <c r="I128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9" i="29"/>
  <c r="I170" i="29"/>
  <c r="I171" i="29"/>
  <c r="I172" i="29"/>
  <c r="I173" i="29"/>
  <c r="I174" i="29"/>
  <c r="I175" i="29"/>
  <c r="I88" i="29"/>
  <c r="I89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6" i="29"/>
  <c r="I107" i="29"/>
  <c r="I108" i="29"/>
  <c r="I109" i="29"/>
  <c r="I110" i="29"/>
  <c r="I111" i="29"/>
  <c r="I112" i="29"/>
  <c r="I113" i="29"/>
  <c r="I114" i="29"/>
  <c r="I115" i="29"/>
  <c r="I116" i="29"/>
  <c r="I86" i="29"/>
  <c r="Z86" i="29"/>
  <c r="Y86" i="29"/>
  <c r="X86" i="29"/>
  <c r="W86" i="29"/>
  <c r="U86" i="29" a="1"/>
  <c r="U86" i="29" s="1"/>
  <c r="T86" i="29" s="1"/>
  <c r="AA86" i="29" s="1"/>
  <c r="F86" i="29"/>
  <c r="Y11" i="26"/>
  <c r="X11" i="26"/>
  <c r="W11" i="26"/>
  <c r="V11" i="26"/>
  <c r="T11" i="26" a="1"/>
  <c r="T11" i="26" s="1"/>
  <c r="S11" i="26" s="1"/>
  <c r="Z11" i="26" s="1"/>
  <c r="H11" i="26"/>
  <c r="E11" i="26"/>
  <c r="Y42" i="26"/>
  <c r="X42" i="26"/>
  <c r="W42" i="26"/>
  <c r="V42" i="26"/>
  <c r="T42" i="26" a="1"/>
  <c r="T42" i="26" s="1"/>
  <c r="S42" i="26" s="1"/>
  <c r="Z42" i="26" s="1"/>
  <c r="H42" i="26"/>
  <c r="E42" i="26"/>
  <c r="Y40" i="26"/>
  <c r="X40" i="26"/>
  <c r="W40" i="26"/>
  <c r="V40" i="26"/>
  <c r="T40" i="26" a="1"/>
  <c r="T40" i="26" s="1"/>
  <c r="S40" i="26" s="1"/>
  <c r="Z40" i="26" s="1"/>
  <c r="H40" i="26"/>
  <c r="E40" i="26"/>
  <c r="Z12" i="29"/>
  <c r="Y12" i="29"/>
  <c r="X12" i="29"/>
  <c r="W12" i="29"/>
  <c r="U12" i="29" a="1"/>
  <c r="U12" i="29" s="1"/>
  <c r="T12" i="29" s="1"/>
  <c r="AA12" i="29" s="1"/>
  <c r="F12" i="29"/>
  <c r="Z123" i="28"/>
  <c r="Y123" i="28"/>
  <c r="X123" i="28"/>
  <c r="W123" i="28"/>
  <c r="U123" i="28" a="1"/>
  <c r="U123" i="28" s="1"/>
  <c r="T123" i="28" s="1"/>
  <c r="AA123" i="28" s="1"/>
  <c r="I123" i="28"/>
  <c r="F123" i="28"/>
  <c r="Z119" i="28"/>
  <c r="Y119" i="28"/>
  <c r="X119" i="28"/>
  <c r="W119" i="28"/>
  <c r="U119" i="28" a="1"/>
  <c r="U119" i="28" s="1"/>
  <c r="T119" i="28" s="1"/>
  <c r="AA119" i="28" s="1"/>
  <c r="I119" i="28"/>
  <c r="F119" i="28"/>
  <c r="F92" i="28"/>
  <c r="I92" i="28"/>
  <c r="U92" i="28" a="1"/>
  <c r="U92" i="28" s="1"/>
  <c r="T92" i="28" s="1"/>
  <c r="AA92" i="28" s="1"/>
  <c r="W92" i="28"/>
  <c r="X92" i="28"/>
  <c r="Y92" i="28"/>
  <c r="Z92" i="28"/>
  <c r="F44" i="28"/>
  <c r="I44" i="28"/>
  <c r="U44" i="28" a="1"/>
  <c r="U44" i="28" s="1"/>
  <c r="T44" i="28" s="1"/>
  <c r="AA44" i="28" s="1"/>
  <c r="W44" i="28"/>
  <c r="X44" i="28"/>
  <c r="Y44" i="28"/>
  <c r="Z44" i="28"/>
  <c r="F46" i="28"/>
  <c r="I46" i="28"/>
  <c r="U46" i="28" a="1"/>
  <c r="U46" i="28" s="1"/>
  <c r="T46" i="28" s="1"/>
  <c r="AA46" i="28" s="1"/>
  <c r="W46" i="28"/>
  <c r="X46" i="28"/>
  <c r="Y46" i="28"/>
  <c r="Z46" i="28"/>
  <c r="Y31" i="26"/>
  <c r="X31" i="26"/>
  <c r="W31" i="26"/>
  <c r="V31" i="26"/>
  <c r="T31" i="26" a="1"/>
  <c r="T31" i="26" s="1"/>
  <c r="S31" i="26" s="1"/>
  <c r="Z31" i="26" s="1"/>
  <c r="H31" i="26"/>
  <c r="E31" i="26"/>
  <c r="Z14" i="29"/>
  <c r="Y14" i="29"/>
  <c r="X14" i="29"/>
  <c r="W14" i="29"/>
  <c r="U14" i="29" a="1"/>
  <c r="U14" i="29" s="1"/>
  <c r="T14" i="29" s="1"/>
  <c r="AA14" i="29" s="1"/>
  <c r="F14" i="29"/>
  <c r="Y18" i="26"/>
  <c r="X18" i="26"/>
  <c r="W18" i="26"/>
  <c r="V18" i="26"/>
  <c r="T18" i="26" a="1"/>
  <c r="T18" i="26" s="1"/>
  <c r="S18" i="26" s="1"/>
  <c r="Z18" i="26" s="1"/>
  <c r="H18" i="26"/>
  <c r="E18" i="26"/>
  <c r="Y84" i="26"/>
  <c r="X84" i="26"/>
  <c r="W84" i="26"/>
  <c r="V84" i="26"/>
  <c r="T84" i="26" a="1"/>
  <c r="T84" i="26" s="1"/>
  <c r="S84" i="26" s="1"/>
  <c r="Z84" i="26" s="1"/>
  <c r="H84" i="26"/>
  <c r="E84" i="26"/>
  <c r="Y19" i="26"/>
  <c r="X19" i="26"/>
  <c r="W19" i="26"/>
  <c r="V19" i="26"/>
  <c r="T19" i="26" a="1"/>
  <c r="T19" i="26" s="1"/>
  <c r="S19" i="26" s="1"/>
  <c r="Z19" i="26" s="1"/>
  <c r="H19" i="26"/>
  <c r="E19" i="26"/>
  <c r="Z52" i="28"/>
  <c r="Y52" i="28"/>
  <c r="X52" i="28"/>
  <c r="W52" i="28"/>
  <c r="U52" i="28" a="1"/>
  <c r="U52" i="28" s="1"/>
  <c r="T52" i="28" s="1"/>
  <c r="AA52" i="28" s="1"/>
  <c r="I52" i="28"/>
  <c r="F52" i="28"/>
  <c r="Y137" i="26"/>
  <c r="X137" i="26"/>
  <c r="W137" i="26"/>
  <c r="V137" i="26"/>
  <c r="T137" i="26" a="1"/>
  <c r="T137" i="26" s="1"/>
  <c r="S137" i="26" s="1"/>
  <c r="Z137" i="26" s="1"/>
  <c r="H137" i="26"/>
  <c r="E137" i="26"/>
  <c r="Y86" i="26"/>
  <c r="X86" i="26"/>
  <c r="W86" i="26"/>
  <c r="V86" i="26"/>
  <c r="T86" i="26" a="1"/>
  <c r="T86" i="26" s="1"/>
  <c r="S86" i="26" s="1"/>
  <c r="Z86" i="26" s="1"/>
  <c r="H86" i="26"/>
  <c r="E86" i="26"/>
  <c r="Y83" i="26"/>
  <c r="X83" i="26"/>
  <c r="W83" i="26"/>
  <c r="V83" i="26"/>
  <c r="T83" i="26" a="1"/>
  <c r="T83" i="26" s="1"/>
  <c r="S83" i="26" s="1"/>
  <c r="Z83" i="26" s="1"/>
  <c r="H83" i="26"/>
  <c r="E83" i="26"/>
  <c r="Y12" i="26"/>
  <c r="X12" i="26"/>
  <c r="W12" i="26"/>
  <c r="V12" i="26"/>
  <c r="T12" i="26" a="1"/>
  <c r="T12" i="26" s="1"/>
  <c r="S12" i="26" s="1"/>
  <c r="Z12" i="26" s="1"/>
  <c r="H12" i="26"/>
  <c r="E12" i="26"/>
  <c r="Z10" i="28"/>
  <c r="Y10" i="28"/>
  <c r="X10" i="28"/>
  <c r="W10" i="28"/>
  <c r="U10" i="28" a="1"/>
  <c r="U10" i="28" s="1"/>
  <c r="T10" i="28" s="1"/>
  <c r="AA10" i="28" s="1"/>
  <c r="I10" i="28"/>
  <c r="F10" i="28"/>
  <c r="Z34" i="29"/>
  <c r="Y34" i="29"/>
  <c r="X34" i="29"/>
  <c r="W34" i="29"/>
  <c r="U34" i="29" a="1"/>
  <c r="U34" i="29" s="1"/>
  <c r="T34" i="29" s="1"/>
  <c r="AA34" i="29" s="1"/>
  <c r="F34" i="29"/>
  <c r="Z174" i="29"/>
  <c r="Y174" i="29"/>
  <c r="X174" i="29"/>
  <c r="W174" i="29"/>
  <c r="U174" i="29" a="1"/>
  <c r="U174" i="29" s="1"/>
  <c r="T174" i="29" s="1"/>
  <c r="AA174" i="29" s="1"/>
  <c r="F174" i="29"/>
  <c r="Z97" i="29"/>
  <c r="Y97" i="29"/>
  <c r="X97" i="29"/>
  <c r="W97" i="29"/>
  <c r="U97" i="29" a="1"/>
  <c r="U97" i="29" s="1"/>
  <c r="T97" i="29" s="1"/>
  <c r="AA97" i="29" s="1"/>
  <c r="F97" i="29"/>
  <c r="Z39" i="29"/>
  <c r="Y39" i="29"/>
  <c r="X39" i="29"/>
  <c r="W39" i="29"/>
  <c r="U39" i="29" a="1"/>
  <c r="U39" i="29" s="1"/>
  <c r="T39" i="29" s="1"/>
  <c r="AA39" i="29" s="1"/>
  <c r="F39" i="29"/>
  <c r="Z20" i="29"/>
  <c r="Y20" i="29"/>
  <c r="X20" i="29"/>
  <c r="W20" i="29"/>
  <c r="U20" i="29" a="1"/>
  <c r="U20" i="29" s="1"/>
  <c r="T20" i="29" s="1"/>
  <c r="AA20" i="29" s="1"/>
  <c r="F20" i="29"/>
  <c r="F26" i="29"/>
  <c r="U26" i="29" a="1"/>
  <c r="U26" i="29" s="1"/>
  <c r="T26" i="29" s="1"/>
  <c r="AA26" i="29" s="1"/>
  <c r="W26" i="29"/>
  <c r="X26" i="29"/>
  <c r="Y26" i="29"/>
  <c r="Z26" i="29"/>
  <c r="Z7" i="28"/>
  <c r="Y7" i="28"/>
  <c r="X7" i="28"/>
  <c r="W7" i="28"/>
  <c r="U7" i="28" a="1"/>
  <c r="U7" i="28" s="1"/>
  <c r="T7" i="28" s="1"/>
  <c r="AA7" i="28" s="1"/>
  <c r="F7" i="28"/>
  <c r="I7" i="28"/>
  <c r="Y17" i="26"/>
  <c r="X17" i="26"/>
  <c r="W17" i="26"/>
  <c r="V17" i="26"/>
  <c r="T17" i="26" a="1"/>
  <c r="T17" i="26" s="1"/>
  <c r="S17" i="26" s="1"/>
  <c r="Z17" i="26" s="1"/>
  <c r="H17" i="26"/>
  <c r="E17" i="26"/>
  <c r="Z11" i="29"/>
  <c r="Y11" i="29"/>
  <c r="X11" i="29"/>
  <c r="W11" i="29"/>
  <c r="U11" i="29" a="1"/>
  <c r="U11" i="29" s="1"/>
  <c r="T11" i="29" s="1"/>
  <c r="AA11" i="29" s="1"/>
  <c r="F11" i="29"/>
  <c r="Y136" i="26"/>
  <c r="X136" i="26"/>
  <c r="W136" i="26"/>
  <c r="V136" i="26"/>
  <c r="T136" i="26" a="1"/>
  <c r="T136" i="26" s="1"/>
  <c r="S136" i="26" s="1"/>
  <c r="Z136" i="26" s="1"/>
  <c r="H136" i="26"/>
  <c r="E136" i="26"/>
  <c r="Y135" i="26"/>
  <c r="X135" i="26"/>
  <c r="W135" i="26"/>
  <c r="V135" i="26"/>
  <c r="T135" i="26" a="1"/>
  <c r="T135" i="26" s="1"/>
  <c r="S135" i="26" s="1"/>
  <c r="Z135" i="26" s="1"/>
  <c r="H135" i="26"/>
  <c r="E135" i="26"/>
  <c r="H134" i="26"/>
  <c r="Y134" i="26"/>
  <c r="X134" i="26"/>
  <c r="W134" i="26"/>
  <c r="V134" i="26"/>
  <c r="T134" i="26" a="1"/>
  <c r="T134" i="26" s="1"/>
  <c r="S134" i="26" s="1"/>
  <c r="Z134" i="26" s="1"/>
  <c r="E134" i="26"/>
  <c r="Y132" i="26"/>
  <c r="X132" i="26"/>
  <c r="W132" i="26"/>
  <c r="V132" i="26"/>
  <c r="T132" i="26" a="1"/>
  <c r="T132" i="26" s="1"/>
  <c r="S132" i="26" s="1"/>
  <c r="Z132" i="26" s="1"/>
  <c r="H132" i="26"/>
  <c r="E132" i="26"/>
  <c r="H130" i="26"/>
  <c r="Y130" i="26"/>
  <c r="X130" i="26"/>
  <c r="W130" i="26"/>
  <c r="V130" i="26"/>
  <c r="T130" i="26" a="1"/>
  <c r="T130" i="26" s="1"/>
  <c r="S130" i="26" s="1"/>
  <c r="Z130" i="26" s="1"/>
  <c r="E130" i="26"/>
  <c r="H127" i="26"/>
  <c r="Y127" i="26"/>
  <c r="X127" i="26"/>
  <c r="W127" i="26"/>
  <c r="V127" i="26"/>
  <c r="T127" i="26" a="1"/>
  <c r="T127" i="26" s="1"/>
  <c r="S127" i="26" s="1"/>
  <c r="Z127" i="26" s="1"/>
  <c r="E127" i="26"/>
  <c r="F10" i="29"/>
  <c r="U10" i="29" a="1"/>
  <c r="U10" i="29" s="1"/>
  <c r="T10" i="29" s="1"/>
  <c r="AA10" i="29" s="1"/>
  <c r="W10" i="29"/>
  <c r="X10" i="29"/>
  <c r="Y10" i="29"/>
  <c r="Z10" i="29"/>
  <c r="H121" i="26"/>
  <c r="T121" i="26" a="1"/>
  <c r="T121" i="26" s="1"/>
  <c r="S121" i="26" s="1"/>
  <c r="Z121" i="26" s="1"/>
  <c r="V121" i="26"/>
  <c r="W121" i="26"/>
  <c r="X121" i="26"/>
  <c r="Y121" i="26"/>
  <c r="Y48" i="26"/>
  <c r="X48" i="26"/>
  <c r="W48" i="26"/>
  <c r="V48" i="26"/>
  <c r="T48" i="26" a="1"/>
  <c r="T48" i="26" s="1"/>
  <c r="S48" i="26" s="1"/>
  <c r="Z48" i="26" s="1"/>
  <c r="H48" i="26"/>
  <c r="Y47" i="26"/>
  <c r="X47" i="26"/>
  <c r="W47" i="26"/>
  <c r="V47" i="26"/>
  <c r="T47" i="26" a="1"/>
  <c r="T47" i="26" s="1"/>
  <c r="S47" i="26" s="1"/>
  <c r="Z47" i="26" s="1"/>
  <c r="H47" i="26"/>
  <c r="E47" i="26"/>
  <c r="E46" i="26"/>
  <c r="H46" i="26"/>
  <c r="T46" i="26" a="1"/>
  <c r="T46" i="26" s="1"/>
  <c r="S46" i="26" s="1"/>
  <c r="Z46" i="26" s="1"/>
  <c r="V46" i="26"/>
  <c r="W46" i="26"/>
  <c r="X46" i="26"/>
  <c r="Y46" i="26"/>
  <c r="E6" i="26"/>
  <c r="H6" i="26"/>
  <c r="T6" i="26" a="1"/>
  <c r="T6" i="26" s="1"/>
  <c r="S6" i="26" s="1"/>
  <c r="Z6" i="26" s="1"/>
  <c r="V6" i="26"/>
  <c r="W6" i="26"/>
  <c r="X6" i="26"/>
  <c r="Y6" i="26"/>
  <c r="I41" i="28"/>
  <c r="Z41" i="28"/>
  <c r="Y41" i="28"/>
  <c r="X41" i="28"/>
  <c r="W41" i="28"/>
  <c r="U41" i="28" a="1"/>
  <c r="U41" i="28" s="1"/>
  <c r="T41" i="28" s="1"/>
  <c r="AA41" i="28" s="1"/>
  <c r="F41" i="28"/>
  <c r="Z116" i="28"/>
  <c r="Y116" i="28"/>
  <c r="X116" i="28"/>
  <c r="W116" i="28"/>
  <c r="U116" i="28" a="1"/>
  <c r="U116" i="28" s="1"/>
  <c r="T116" i="28" s="1"/>
  <c r="AA116" i="28" s="1"/>
  <c r="I116" i="28"/>
  <c r="F116" i="28"/>
  <c r="Z115" i="28"/>
  <c r="Y115" i="28"/>
  <c r="X115" i="28"/>
  <c r="W115" i="28"/>
  <c r="U115" i="28" a="1"/>
  <c r="U115" i="28" s="1"/>
  <c r="T115" i="28" s="1"/>
  <c r="AA115" i="28" s="1"/>
  <c r="I115" i="28"/>
  <c r="F115" i="28"/>
  <c r="F114" i="28"/>
  <c r="I114" i="28"/>
  <c r="U114" i="28" a="1"/>
  <c r="U114" i="28" s="1"/>
  <c r="T114" i="28" s="1"/>
  <c r="AA114" i="28" s="1"/>
  <c r="W114" i="28"/>
  <c r="X114" i="28"/>
  <c r="Y114" i="28"/>
  <c r="Z114" i="28"/>
  <c r="Y16" i="26"/>
  <c r="X16" i="26"/>
  <c r="W16" i="26"/>
  <c r="V16" i="26"/>
  <c r="T16" i="26" a="1"/>
  <c r="T16" i="26" s="1"/>
  <c r="S16" i="26" s="1"/>
  <c r="Z16" i="26" s="1"/>
  <c r="H16" i="26"/>
  <c r="E16" i="26"/>
  <c r="U3" i="28" a="1"/>
  <c r="U3" i="28" s="1"/>
  <c r="T3" i="28" s="1"/>
  <c r="U6" i="28" a="1"/>
  <c r="U6" i="28" s="1"/>
  <c r="T6" i="28" s="1"/>
  <c r="U4" i="28" a="1"/>
  <c r="U4" i="28" s="1"/>
  <c r="T4" i="28" s="1"/>
  <c r="U5" i="28" a="1"/>
  <c r="U5" i="28" s="1"/>
  <c r="T5" i="28" s="1"/>
  <c r="U8" i="28" a="1"/>
  <c r="U8" i="28" s="1"/>
  <c r="T8" i="28" s="1"/>
  <c r="U9" i="28" a="1"/>
  <c r="U9" i="28" s="1"/>
  <c r="T9" i="28" s="1"/>
  <c r="U11" i="28" a="1"/>
  <c r="U11" i="28" s="1"/>
  <c r="T11" i="28" s="1"/>
  <c r="U12" i="28" a="1"/>
  <c r="U12" i="28" s="1"/>
  <c r="T12" i="28" s="1"/>
  <c r="U13" i="28" a="1"/>
  <c r="U13" i="28" s="1"/>
  <c r="T13" i="28" s="1"/>
  <c r="U14" i="28" a="1"/>
  <c r="U14" i="28" s="1"/>
  <c r="T14" i="28" s="1"/>
  <c r="U15" i="28" a="1"/>
  <c r="U15" i="28" s="1"/>
  <c r="T15" i="28" s="1"/>
  <c r="U16" i="28" a="1"/>
  <c r="U16" i="28" s="1"/>
  <c r="T16" i="28" s="1"/>
  <c r="U17" i="28" a="1"/>
  <c r="U17" i="28" s="1"/>
  <c r="T17" i="28" s="1"/>
  <c r="U18" i="28" a="1"/>
  <c r="U18" i="28" s="1"/>
  <c r="T18" i="28" s="1"/>
  <c r="U19" i="28" a="1"/>
  <c r="U19" i="28" s="1"/>
  <c r="T19" i="28" s="1"/>
  <c r="U21" i="28" a="1"/>
  <c r="U21" i="28" s="1"/>
  <c r="T21" i="28" s="1"/>
  <c r="U22" i="28" a="1"/>
  <c r="U22" i="28" s="1"/>
  <c r="T22" i="28" s="1"/>
  <c r="U23" i="28" a="1"/>
  <c r="U23" i="28" s="1"/>
  <c r="T23" i="28" s="1"/>
  <c r="U24" i="28" a="1"/>
  <c r="U24" i="28" s="1"/>
  <c r="T24" i="28" s="1"/>
  <c r="U25" i="28" a="1"/>
  <c r="U25" i="28" s="1"/>
  <c r="T25" i="28" s="1"/>
  <c r="U27" i="28" a="1"/>
  <c r="U27" i="28" s="1"/>
  <c r="T27" i="28" s="1"/>
  <c r="U28" i="28" a="1"/>
  <c r="U28" i="28" s="1"/>
  <c r="T28" i="28" s="1"/>
  <c r="U29" i="28" a="1"/>
  <c r="U29" i="28" s="1"/>
  <c r="T29" i="28" s="1"/>
  <c r="U30" i="28" a="1"/>
  <c r="U30" i="28" s="1"/>
  <c r="T30" i="28" s="1"/>
  <c r="U31" i="28" a="1"/>
  <c r="U31" i="28" s="1"/>
  <c r="T31" i="28" s="1"/>
  <c r="U32" i="28" a="1"/>
  <c r="U32" i="28" s="1"/>
  <c r="T32" i="28" s="1"/>
  <c r="U33" i="28" a="1"/>
  <c r="U33" i="28" s="1"/>
  <c r="T33" i="28" s="1"/>
  <c r="U34" i="28" a="1"/>
  <c r="U34" i="28" s="1"/>
  <c r="T34" i="28" s="1"/>
  <c r="U35" i="28" a="1"/>
  <c r="U35" i="28" s="1"/>
  <c r="T35" i="28" s="1"/>
  <c r="U36" i="28" a="1"/>
  <c r="U36" i="28" s="1"/>
  <c r="T36" i="28" s="1"/>
  <c r="U37" i="28" a="1"/>
  <c r="U37" i="28" s="1"/>
  <c r="T37" i="28" s="1"/>
  <c r="U38" i="28" a="1"/>
  <c r="U38" i="28" s="1"/>
  <c r="T38" i="28" s="1"/>
  <c r="U39" i="28" a="1"/>
  <c r="U39" i="28" s="1"/>
  <c r="T39" i="28" s="1"/>
  <c r="U40" i="28" a="1"/>
  <c r="U40" i="28" s="1"/>
  <c r="T40" i="28" s="1"/>
  <c r="U42" i="28" a="1"/>
  <c r="U42" i="28" s="1"/>
  <c r="T42" i="28" s="1"/>
  <c r="U43" i="28" a="1"/>
  <c r="U43" i="28" s="1"/>
  <c r="T43" i="28" s="1"/>
  <c r="U47" i="28" a="1"/>
  <c r="U47" i="28" s="1"/>
  <c r="T47" i="28" s="1"/>
  <c r="U48" i="28" a="1"/>
  <c r="U48" i="28" s="1"/>
  <c r="T48" i="28" s="1"/>
  <c r="U49" i="28" a="1"/>
  <c r="U49" i="28" s="1"/>
  <c r="T49" i="28" s="1"/>
  <c r="U50" i="28" a="1"/>
  <c r="U50" i="28" s="1"/>
  <c r="T50" i="28" s="1"/>
  <c r="U51" i="28" a="1"/>
  <c r="U51" i="28" s="1"/>
  <c r="T51" i="28" s="1"/>
  <c r="U53" i="28" a="1"/>
  <c r="U53" i="28" s="1"/>
  <c r="T53" i="28" s="1"/>
  <c r="U54" i="28" a="1"/>
  <c r="U54" i="28" s="1"/>
  <c r="T54" i="28" s="1"/>
  <c r="U55" i="28" a="1"/>
  <c r="U55" i="28" s="1"/>
  <c r="T55" i="28" s="1"/>
  <c r="U56" i="28" a="1"/>
  <c r="U56" i="28" s="1"/>
  <c r="T56" i="28" s="1"/>
  <c r="U57" i="28" a="1"/>
  <c r="U57" i="28" s="1"/>
  <c r="T57" i="28" s="1"/>
  <c r="U58" i="28" a="1"/>
  <c r="U58" i="28" s="1"/>
  <c r="T58" i="28" s="1"/>
  <c r="U59" i="28" a="1"/>
  <c r="U59" i="28" s="1"/>
  <c r="T59" i="28" s="1"/>
  <c r="U60" i="28" a="1"/>
  <c r="U60" i="28" s="1"/>
  <c r="T60" i="28" s="1"/>
  <c r="U61" i="28" a="1"/>
  <c r="U61" i="28" s="1"/>
  <c r="T61" i="28" s="1"/>
  <c r="U62" i="28" a="1"/>
  <c r="U62" i="28" s="1"/>
  <c r="T62" i="28" s="1"/>
  <c r="U63" i="28" a="1"/>
  <c r="U63" i="28" s="1"/>
  <c r="T63" i="28" s="1"/>
  <c r="U64" i="28" a="1"/>
  <c r="U64" i="28" s="1"/>
  <c r="T64" i="28" s="1"/>
  <c r="U65" i="28" a="1"/>
  <c r="U65" i="28" s="1"/>
  <c r="T65" i="28" s="1"/>
  <c r="U66" i="28" a="1"/>
  <c r="U66" i="28" s="1"/>
  <c r="T66" i="28" s="1"/>
  <c r="U67" i="28" a="1"/>
  <c r="U67" i="28" s="1"/>
  <c r="T67" i="28" s="1"/>
  <c r="U68" i="28" a="1"/>
  <c r="U68" i="28" s="1"/>
  <c r="T68" i="28" s="1"/>
  <c r="U69" i="28" a="1"/>
  <c r="U69" i="28" s="1"/>
  <c r="T69" i="28" s="1"/>
  <c r="U70" i="28" a="1"/>
  <c r="U70" i="28" s="1"/>
  <c r="T70" i="28" s="1"/>
  <c r="U71" i="28" a="1"/>
  <c r="U71" i="28" s="1"/>
  <c r="T71" i="28" s="1"/>
  <c r="U72" i="28" a="1"/>
  <c r="U72" i="28" s="1"/>
  <c r="T72" i="28" s="1"/>
  <c r="U73" i="28" a="1"/>
  <c r="U73" i="28" s="1"/>
  <c r="T73" i="28" s="1"/>
  <c r="U74" i="28" a="1"/>
  <c r="U74" i="28" s="1"/>
  <c r="T74" i="28" s="1"/>
  <c r="U76" i="28" a="1"/>
  <c r="U76" i="28" s="1"/>
  <c r="T76" i="28" s="1"/>
  <c r="U78" i="28" a="1"/>
  <c r="U78" i="28" s="1"/>
  <c r="T78" i="28" s="1"/>
  <c r="U79" i="28" a="1"/>
  <c r="U79" i="28" s="1"/>
  <c r="T79" i="28" s="1"/>
  <c r="U80" i="28" a="1"/>
  <c r="U80" i="28" s="1"/>
  <c r="T80" i="28" s="1"/>
  <c r="U81" i="28" a="1"/>
  <c r="U81" i="28" s="1"/>
  <c r="T81" i="28" s="1"/>
  <c r="U82" i="28" a="1"/>
  <c r="U82" i="28" s="1"/>
  <c r="T82" i="28" s="1"/>
  <c r="U83" i="28" a="1"/>
  <c r="U83" i="28" s="1"/>
  <c r="T83" i="28" s="1"/>
  <c r="U84" i="28" a="1"/>
  <c r="U84" i="28" s="1"/>
  <c r="T84" i="28" s="1"/>
  <c r="U85" i="28" a="1"/>
  <c r="U85" i="28" s="1"/>
  <c r="T85" i="28" s="1"/>
  <c r="U86" i="28" a="1"/>
  <c r="U86" i="28" s="1"/>
  <c r="T86" i="28" s="1"/>
  <c r="U87" i="28" a="1"/>
  <c r="U87" i="28" s="1"/>
  <c r="T87" i="28" s="1"/>
  <c r="U88" i="28" a="1"/>
  <c r="U88" i="28" s="1"/>
  <c r="T88" i="28" s="1"/>
  <c r="U89" i="28" a="1"/>
  <c r="U89" i="28" s="1"/>
  <c r="T89" i="28" s="1"/>
  <c r="U91" i="28" a="1"/>
  <c r="U91" i="28" s="1"/>
  <c r="T91" i="28" s="1"/>
  <c r="U93" i="28" a="1"/>
  <c r="U93" i="28" s="1"/>
  <c r="T93" i="28" s="1"/>
  <c r="U94" i="28" a="1"/>
  <c r="U94" i="28" s="1"/>
  <c r="T94" i="28" s="1"/>
  <c r="U96" i="28" a="1"/>
  <c r="U96" i="28" s="1"/>
  <c r="T96" i="28" s="1"/>
  <c r="U97" i="28" a="1"/>
  <c r="U97" i="28" s="1"/>
  <c r="T97" i="28" s="1"/>
  <c r="U99" i="28" a="1"/>
  <c r="U99" i="28" s="1"/>
  <c r="T99" i="28" s="1"/>
  <c r="U100" i="28" a="1"/>
  <c r="U100" i="28" s="1"/>
  <c r="T100" i="28" s="1"/>
  <c r="U101" i="28" a="1"/>
  <c r="U101" i="28" s="1"/>
  <c r="T101" i="28" s="1"/>
  <c r="U105" i="28" a="1"/>
  <c r="U105" i="28" s="1"/>
  <c r="T105" i="28" s="1"/>
  <c r="U106" i="28" a="1"/>
  <c r="U106" i="28" s="1"/>
  <c r="T106" i="28" s="1"/>
  <c r="U117" i="28" a="1"/>
  <c r="U117" i="28" s="1"/>
  <c r="T117" i="28" s="1"/>
  <c r="U118" i="28" a="1"/>
  <c r="U118" i="28" s="1"/>
  <c r="T118" i="28" s="1"/>
  <c r="U122" i="28" a="1"/>
  <c r="U122" i="28" s="1"/>
  <c r="T122" i="28" s="1"/>
  <c r="U124" i="28" a="1"/>
  <c r="U124" i="28" s="1"/>
  <c r="T124" i="28" s="1"/>
  <c r="U2" i="29" a="1"/>
  <c r="U2" i="29" s="1"/>
  <c r="U3" i="29" a="1"/>
  <c r="U3" i="29" s="1"/>
  <c r="U4" i="29" a="1"/>
  <c r="U4" i="29" s="1"/>
  <c r="U5" i="29" a="1"/>
  <c r="U5" i="29" s="1"/>
  <c r="U6" i="29" a="1"/>
  <c r="U6" i="29" s="1"/>
  <c r="U7" i="29" a="1"/>
  <c r="U7" i="29" s="1"/>
  <c r="U8" i="29" a="1"/>
  <c r="U8" i="29" s="1"/>
  <c r="U16" i="29" a="1"/>
  <c r="U16" i="29" s="1"/>
  <c r="U17" i="29" a="1"/>
  <c r="U17" i="29" s="1"/>
  <c r="U18" i="29" a="1"/>
  <c r="U18" i="29" s="1"/>
  <c r="U19" i="29" a="1"/>
  <c r="U19" i="29" s="1"/>
  <c r="U29" i="29" a="1"/>
  <c r="U29" i="29" s="1"/>
  <c r="U30" i="29" a="1"/>
  <c r="U30" i="29" s="1"/>
  <c r="U33" i="29" a="1"/>
  <c r="U33" i="29" s="1"/>
  <c r="U37" i="29" a="1"/>
  <c r="U37" i="29" s="1"/>
  <c r="U38" i="29" a="1"/>
  <c r="U38" i="29" s="1"/>
  <c r="U40" i="29" a="1"/>
  <c r="U40" i="29" s="1"/>
  <c r="U41" i="29" a="1"/>
  <c r="U41" i="29" s="1"/>
  <c r="U42" i="29" a="1"/>
  <c r="U42" i="29" s="1"/>
  <c r="U44" i="29" a="1"/>
  <c r="U44" i="29" s="1"/>
  <c r="U45" i="29" a="1"/>
  <c r="U45" i="29" s="1"/>
  <c r="U47" i="29" a="1"/>
  <c r="U47" i="29" s="1"/>
  <c r="U48" i="29" a="1"/>
  <c r="U48" i="29" s="1"/>
  <c r="U49" i="29" a="1"/>
  <c r="U49" i="29" s="1"/>
  <c r="U50" i="29" a="1"/>
  <c r="U50" i="29" s="1"/>
  <c r="U51" i="29" a="1"/>
  <c r="U51" i="29" s="1"/>
  <c r="U52" i="29" a="1"/>
  <c r="U52" i="29" s="1"/>
  <c r="U53" i="29" a="1"/>
  <c r="U53" i="29" s="1"/>
  <c r="U54" i="29" a="1"/>
  <c r="U54" i="29" s="1"/>
  <c r="U55" i="29" a="1"/>
  <c r="U55" i="29" s="1"/>
  <c r="U56" i="29" a="1"/>
  <c r="U56" i="29" s="1"/>
  <c r="U57" i="29" a="1"/>
  <c r="U57" i="29" s="1"/>
  <c r="U58" i="29" a="1"/>
  <c r="U58" i="29" s="1"/>
  <c r="U59" i="29" a="1"/>
  <c r="U59" i="29" s="1"/>
  <c r="U62" i="29" a="1"/>
  <c r="U62" i="29" s="1"/>
  <c r="U63" i="29" a="1"/>
  <c r="U63" i="29" s="1"/>
  <c r="U64" i="29" a="1"/>
  <c r="U64" i="29" s="1"/>
  <c r="U66" i="29" a="1"/>
  <c r="U66" i="29" s="1"/>
  <c r="U67" i="29" a="1"/>
  <c r="U67" i="29" s="1"/>
  <c r="U69" i="29" a="1"/>
  <c r="U69" i="29" s="1"/>
  <c r="U70" i="29" a="1"/>
  <c r="U70" i="29" s="1"/>
  <c r="U74" i="29" a="1"/>
  <c r="U74" i="29" s="1"/>
  <c r="U75" i="29" a="1"/>
  <c r="U75" i="29" s="1"/>
  <c r="U76" i="29" a="1"/>
  <c r="U76" i="29" s="1"/>
  <c r="U77" i="29" a="1"/>
  <c r="U77" i="29" s="1"/>
  <c r="U78" i="29" a="1"/>
  <c r="U78" i="29" s="1"/>
  <c r="U79" i="29" a="1"/>
  <c r="U79" i="29" s="1"/>
  <c r="U80" i="29" a="1"/>
  <c r="U80" i="29" s="1"/>
  <c r="U81" i="29" a="1"/>
  <c r="U81" i="29" s="1"/>
  <c r="U82" i="29" a="1"/>
  <c r="U82" i="29" s="1"/>
  <c r="U83" i="29" a="1"/>
  <c r="U83" i="29" s="1"/>
  <c r="U84" i="29" a="1"/>
  <c r="U84" i="29" s="1"/>
  <c r="U85" i="29" a="1"/>
  <c r="U85" i="29" s="1"/>
  <c r="U88" i="29" a="1"/>
  <c r="U88" i="29" s="1"/>
  <c r="U89" i="29" a="1"/>
  <c r="U89" i="29" s="1"/>
  <c r="U91" i="29" a="1"/>
  <c r="U91" i="29" s="1"/>
  <c r="U92" i="29" a="1"/>
  <c r="U92" i="29" s="1"/>
  <c r="U93" i="29" a="1"/>
  <c r="U93" i="29" s="1"/>
  <c r="U94" i="29" a="1"/>
  <c r="U94" i="29" s="1"/>
  <c r="U95" i="29" a="1"/>
  <c r="U95" i="29" s="1"/>
  <c r="U96" i="29" a="1"/>
  <c r="U96" i="29" s="1"/>
  <c r="U98" i="29" a="1"/>
  <c r="U98" i="29" s="1"/>
  <c r="U99" i="29" a="1"/>
  <c r="U99" i="29" s="1"/>
  <c r="U100" i="29" a="1"/>
  <c r="U100" i="29" s="1"/>
  <c r="U101" i="29" a="1"/>
  <c r="U101" i="29" s="1"/>
  <c r="U102" i="29" a="1"/>
  <c r="U102" i="29" s="1"/>
  <c r="U103" i="29" a="1"/>
  <c r="U103" i="29" s="1"/>
  <c r="U106" i="29" a="1"/>
  <c r="U106" i="29" s="1"/>
  <c r="U107" i="29" a="1"/>
  <c r="U107" i="29" s="1"/>
  <c r="U108" i="29" a="1"/>
  <c r="U108" i="29" s="1"/>
  <c r="U109" i="29" a="1"/>
  <c r="U109" i="29" s="1"/>
  <c r="U110" i="29" a="1"/>
  <c r="U110" i="29" s="1"/>
  <c r="U111" i="29" a="1"/>
  <c r="U111" i="29" s="1"/>
  <c r="U112" i="29" a="1"/>
  <c r="U112" i="29" s="1"/>
  <c r="U113" i="29" a="1"/>
  <c r="U113" i="29" s="1"/>
  <c r="U114" i="29" a="1"/>
  <c r="U114" i="29" s="1"/>
  <c r="U115" i="29" a="1"/>
  <c r="U115" i="29" s="1"/>
  <c r="U116" i="29" a="1"/>
  <c r="U116" i="29" s="1"/>
  <c r="U118" i="29" a="1"/>
  <c r="U118" i="29" s="1"/>
  <c r="U122" i="29" a="1"/>
  <c r="U122" i="29" s="1"/>
  <c r="U125" i="29" a="1"/>
  <c r="U125" i="29" s="1"/>
  <c r="U126" i="29" a="1"/>
  <c r="U126" i="29" s="1"/>
  <c r="U127" i="29" a="1"/>
  <c r="U127" i="29" s="1"/>
  <c r="U128" i="29" a="1"/>
  <c r="U128" i="29" s="1"/>
  <c r="U132" i="29" a="1"/>
  <c r="U132" i="29" s="1"/>
  <c r="U133" i="29" a="1"/>
  <c r="U133" i="29" s="1"/>
  <c r="U134" i="29" a="1"/>
  <c r="U134" i="29" s="1"/>
  <c r="U135" i="29" a="1"/>
  <c r="U135" i="29" s="1"/>
  <c r="U136" i="29" a="1"/>
  <c r="U136" i="29" s="1"/>
  <c r="U137" i="29" a="1"/>
  <c r="U137" i="29" s="1"/>
  <c r="U138" i="29" a="1"/>
  <c r="U138" i="29" s="1"/>
  <c r="U139" i="29" a="1"/>
  <c r="U139" i="29" s="1"/>
  <c r="U140" i="29" a="1"/>
  <c r="U140" i="29" s="1"/>
  <c r="U141" i="29" a="1"/>
  <c r="U141" i="29" s="1"/>
  <c r="U142" i="29" a="1"/>
  <c r="U142" i="29" s="1"/>
  <c r="U143" i="29" a="1"/>
  <c r="U143" i="29" s="1"/>
  <c r="U144" i="29" a="1"/>
  <c r="U144" i="29" s="1"/>
  <c r="U145" i="29" a="1"/>
  <c r="U145" i="29" s="1"/>
  <c r="U146" i="29" a="1"/>
  <c r="U146" i="29" s="1"/>
  <c r="U147" i="29" a="1"/>
  <c r="U147" i="29" s="1"/>
  <c r="U148" i="29" a="1"/>
  <c r="U148" i="29" s="1"/>
  <c r="U149" i="29" a="1"/>
  <c r="U149" i="29" s="1"/>
  <c r="U150" i="29" a="1"/>
  <c r="U150" i="29" s="1"/>
  <c r="U151" i="29" a="1"/>
  <c r="U151" i="29" s="1"/>
  <c r="U152" i="29" a="1"/>
  <c r="U152" i="29" s="1"/>
  <c r="U153" i="29" a="1"/>
  <c r="U153" i="29" s="1"/>
  <c r="U154" i="29" a="1"/>
  <c r="U154" i="29" s="1"/>
  <c r="U155" i="29" a="1"/>
  <c r="U155" i="29" s="1"/>
  <c r="U156" i="29" a="1"/>
  <c r="U156" i="29" s="1"/>
  <c r="U157" i="29" a="1"/>
  <c r="U157" i="29" s="1"/>
  <c r="U158" i="29" a="1"/>
  <c r="U158" i="29" s="1"/>
  <c r="U159" i="29" a="1"/>
  <c r="U159" i="29" s="1"/>
  <c r="U160" i="29" a="1"/>
  <c r="U160" i="29" s="1"/>
  <c r="U161" i="29" a="1"/>
  <c r="U161" i="29" s="1"/>
  <c r="U162" i="29" a="1"/>
  <c r="U162" i="29" s="1"/>
  <c r="U169" i="29" a="1"/>
  <c r="U169" i="29" s="1"/>
  <c r="U170" i="29" a="1"/>
  <c r="U170" i="29" s="1"/>
  <c r="U171" i="29" a="1"/>
  <c r="U171" i="29" s="1"/>
  <c r="U172" i="29" a="1"/>
  <c r="U172" i="29" s="1"/>
  <c r="U173" i="29" a="1"/>
  <c r="U173" i="29" s="1"/>
  <c r="U175" i="29" a="1"/>
  <c r="U175" i="29" s="1"/>
  <c r="T2" i="26" a="1"/>
  <c r="T2" i="26" s="1"/>
  <c r="S2" i="26" s="1"/>
  <c r="T3" i="26" a="1"/>
  <c r="T3" i="26" s="1"/>
  <c r="S3" i="26" s="1"/>
  <c r="T4" i="26" a="1"/>
  <c r="T4" i="26" s="1"/>
  <c r="S4" i="26" s="1"/>
  <c r="T5" i="26" a="1"/>
  <c r="T5" i="26" s="1"/>
  <c r="S5" i="26" s="1"/>
  <c r="T8" i="26" a="1"/>
  <c r="T8" i="26" s="1"/>
  <c r="S8" i="26" s="1"/>
  <c r="T9" i="26" a="1"/>
  <c r="T9" i="26" s="1"/>
  <c r="S9" i="26" s="1"/>
  <c r="T10" i="26" a="1"/>
  <c r="T10" i="26" s="1"/>
  <c r="S10" i="26" s="1"/>
  <c r="T13" i="26" a="1"/>
  <c r="T13" i="26" s="1"/>
  <c r="S13" i="26" s="1"/>
  <c r="T14" i="26" a="1"/>
  <c r="T14" i="26" s="1"/>
  <c r="S14" i="26" s="1"/>
  <c r="T15" i="26" a="1"/>
  <c r="T15" i="26" s="1"/>
  <c r="S15" i="26" s="1"/>
  <c r="T20" i="26" a="1"/>
  <c r="T20" i="26" s="1"/>
  <c r="S20" i="26" s="1"/>
  <c r="T21" i="26" a="1"/>
  <c r="T21" i="26" s="1"/>
  <c r="S21" i="26" s="1"/>
  <c r="T22" i="26" a="1"/>
  <c r="T22" i="26" s="1"/>
  <c r="S22" i="26" s="1"/>
  <c r="T23" i="26" a="1"/>
  <c r="T23" i="26" s="1"/>
  <c r="S23" i="26" s="1"/>
  <c r="T25" i="26" a="1"/>
  <c r="T25" i="26" s="1"/>
  <c r="S25" i="26" s="1"/>
  <c r="T26" i="26" a="1"/>
  <c r="T26" i="26" s="1"/>
  <c r="S26" i="26" s="1"/>
  <c r="T27" i="26" a="1"/>
  <c r="T27" i="26" s="1"/>
  <c r="S27" i="26" s="1"/>
  <c r="T28" i="26" a="1"/>
  <c r="T28" i="26" s="1"/>
  <c r="S28" i="26" s="1"/>
  <c r="T30" i="26" a="1"/>
  <c r="T30" i="26" s="1"/>
  <c r="S30" i="26" s="1"/>
  <c r="T33" i="26" a="1"/>
  <c r="T33" i="26" s="1"/>
  <c r="S33" i="26" s="1"/>
  <c r="T34" i="26" a="1"/>
  <c r="T34" i="26" s="1"/>
  <c r="S34" i="26" s="1"/>
  <c r="T35" i="26" a="1"/>
  <c r="T35" i="26" s="1"/>
  <c r="S35" i="26" s="1"/>
  <c r="T36" i="26" a="1"/>
  <c r="T36" i="26" s="1"/>
  <c r="S36" i="26" s="1"/>
  <c r="T37" i="26" a="1"/>
  <c r="T37" i="26" s="1"/>
  <c r="S37" i="26" s="1"/>
  <c r="T38" i="26" a="1"/>
  <c r="T38" i="26" s="1"/>
  <c r="S38" i="26" s="1"/>
  <c r="T39" i="26" a="1"/>
  <c r="T39" i="26" s="1"/>
  <c r="S39" i="26" s="1"/>
  <c r="T41" i="26" a="1"/>
  <c r="T41" i="26" s="1"/>
  <c r="S41" i="26" s="1"/>
  <c r="T49" i="26" a="1"/>
  <c r="T49" i="26" s="1"/>
  <c r="S49" i="26" s="1"/>
  <c r="T50" i="26" a="1"/>
  <c r="T50" i="26" s="1"/>
  <c r="S50" i="26" s="1"/>
  <c r="T51" i="26" a="1"/>
  <c r="T51" i="26" s="1"/>
  <c r="S51" i="26" s="1"/>
  <c r="T52" i="26" a="1"/>
  <c r="T52" i="26" s="1"/>
  <c r="S52" i="26" s="1"/>
  <c r="T53" i="26" a="1"/>
  <c r="T53" i="26" s="1"/>
  <c r="S53" i="26" s="1"/>
  <c r="T54" i="26" a="1"/>
  <c r="T54" i="26" s="1"/>
  <c r="S54" i="26" s="1"/>
  <c r="T55" i="26" a="1"/>
  <c r="T55" i="26" s="1"/>
  <c r="S55" i="26" s="1"/>
  <c r="T56" i="26" a="1"/>
  <c r="T56" i="26" s="1"/>
  <c r="S56" i="26" s="1"/>
  <c r="T57" i="26" a="1"/>
  <c r="T57" i="26" s="1"/>
  <c r="S57" i="26" s="1"/>
  <c r="T58" i="26" a="1"/>
  <c r="T58" i="26" s="1"/>
  <c r="S58" i="26" s="1"/>
  <c r="T59" i="26" a="1"/>
  <c r="T59" i="26" s="1"/>
  <c r="S59" i="26" s="1"/>
  <c r="T60" i="26" a="1"/>
  <c r="T60" i="26" s="1"/>
  <c r="S60" i="26" s="1"/>
  <c r="T61" i="26" a="1"/>
  <c r="T61" i="26" s="1"/>
  <c r="S61" i="26" s="1"/>
  <c r="T62" i="26" a="1"/>
  <c r="T62" i="26" s="1"/>
  <c r="S62" i="26" s="1"/>
  <c r="T63" i="26" a="1"/>
  <c r="T63" i="26" s="1"/>
  <c r="S63" i="26" s="1"/>
  <c r="T64" i="26" a="1"/>
  <c r="T64" i="26" s="1"/>
  <c r="S64" i="26" s="1"/>
  <c r="T65" i="26" a="1"/>
  <c r="T65" i="26" s="1"/>
  <c r="S65" i="26" s="1"/>
  <c r="T66" i="26" a="1"/>
  <c r="T66" i="26" s="1"/>
  <c r="S66" i="26" s="1"/>
  <c r="T67" i="26" a="1"/>
  <c r="T67" i="26" s="1"/>
  <c r="S67" i="26" s="1"/>
  <c r="T68" i="26" a="1"/>
  <c r="T68" i="26" s="1"/>
  <c r="S68" i="26" s="1"/>
  <c r="T69" i="26" a="1"/>
  <c r="T69" i="26" s="1"/>
  <c r="S69" i="26" s="1"/>
  <c r="T70" i="26" a="1"/>
  <c r="T70" i="26" s="1"/>
  <c r="S70" i="26" s="1"/>
  <c r="T71" i="26" a="1"/>
  <c r="T71" i="26" s="1"/>
  <c r="S71" i="26" s="1"/>
  <c r="T72" i="26" a="1"/>
  <c r="T72" i="26" s="1"/>
  <c r="S72" i="26" s="1"/>
  <c r="T73" i="26" a="1"/>
  <c r="T73" i="26" s="1"/>
  <c r="S73" i="26" s="1"/>
  <c r="T74" i="26" a="1"/>
  <c r="T74" i="26" s="1"/>
  <c r="S74" i="26" s="1"/>
  <c r="T75" i="26" a="1"/>
  <c r="T75" i="26" s="1"/>
  <c r="S75" i="26" s="1"/>
  <c r="T76" i="26" a="1"/>
  <c r="T76" i="26" s="1"/>
  <c r="S76" i="26" s="1"/>
  <c r="T77" i="26" a="1"/>
  <c r="T77" i="26" s="1"/>
  <c r="S77" i="26" s="1"/>
  <c r="T78" i="26" a="1"/>
  <c r="T78" i="26" s="1"/>
  <c r="S78" i="26" s="1"/>
  <c r="T79" i="26" a="1"/>
  <c r="T79" i="26" s="1"/>
  <c r="S79" i="26" s="1"/>
  <c r="T80" i="26" a="1"/>
  <c r="T80" i="26" s="1"/>
  <c r="S80" i="26" s="1"/>
  <c r="T81" i="26" a="1"/>
  <c r="T81" i="26" s="1"/>
  <c r="S81" i="26" s="1"/>
  <c r="T82" i="26" a="1"/>
  <c r="T82" i="26" s="1"/>
  <c r="S82" i="26" s="1"/>
  <c r="T85" i="26" a="1"/>
  <c r="T85" i="26" s="1"/>
  <c r="S85" i="26" s="1"/>
  <c r="T87" i="26" a="1"/>
  <c r="T87" i="26" s="1"/>
  <c r="S87" i="26" s="1"/>
  <c r="T88" i="26" a="1"/>
  <c r="T88" i="26" s="1"/>
  <c r="S88" i="26" s="1"/>
  <c r="T89" i="26" a="1"/>
  <c r="T89" i="26" s="1"/>
  <c r="S89" i="26" s="1"/>
  <c r="T92" i="26" a="1"/>
  <c r="T92" i="26" s="1"/>
  <c r="S92" i="26" s="1"/>
  <c r="T93" i="26" a="1"/>
  <c r="T93" i="26" s="1"/>
  <c r="S93" i="26" s="1"/>
  <c r="T94" i="26" a="1"/>
  <c r="T94" i="26" s="1"/>
  <c r="S94" i="26" s="1"/>
  <c r="T95" i="26" a="1"/>
  <c r="T95" i="26" s="1"/>
  <c r="S95" i="26" s="1"/>
  <c r="T96" i="26" a="1"/>
  <c r="T96" i="26" s="1"/>
  <c r="S96" i="26" s="1"/>
  <c r="T97" i="26" a="1"/>
  <c r="T97" i="26" s="1"/>
  <c r="S97" i="26" s="1"/>
  <c r="T100" i="26" a="1"/>
  <c r="T100" i="26" s="1"/>
  <c r="S100" i="26" s="1"/>
  <c r="T101" i="26" a="1"/>
  <c r="T101" i="26" s="1"/>
  <c r="S101" i="26" s="1"/>
  <c r="T102" i="26" a="1"/>
  <c r="T102" i="26" s="1"/>
  <c r="S102" i="26" s="1"/>
  <c r="T103" i="26" a="1"/>
  <c r="T103" i="26" s="1"/>
  <c r="S103" i="26" s="1"/>
  <c r="T104" i="26" a="1"/>
  <c r="T104" i="26" s="1"/>
  <c r="S104" i="26" s="1"/>
  <c r="T105" i="26" a="1"/>
  <c r="T105" i="26" s="1"/>
  <c r="S105" i="26" s="1"/>
  <c r="T107" i="26" a="1"/>
  <c r="T107" i="26" s="1"/>
  <c r="S107" i="26" s="1"/>
  <c r="T110" i="26" a="1"/>
  <c r="T110" i="26" s="1"/>
  <c r="S110" i="26" s="1"/>
  <c r="T111" i="26" a="1"/>
  <c r="T111" i="26" s="1"/>
  <c r="S111" i="26" s="1"/>
  <c r="T112" i="26" a="1"/>
  <c r="T112" i="26" s="1"/>
  <c r="S112" i="26" s="1"/>
  <c r="T113" i="26" a="1"/>
  <c r="T113" i="26" s="1"/>
  <c r="S113" i="26" s="1"/>
  <c r="T115" i="26" a="1"/>
  <c r="T115" i="26" s="1"/>
  <c r="S115" i="26" s="1"/>
  <c r="T116" i="26" a="1"/>
  <c r="T116" i="26" s="1"/>
  <c r="S116" i="26" s="1"/>
  <c r="T117" i="26" a="1"/>
  <c r="T117" i="26" s="1"/>
  <c r="S117" i="26" s="1"/>
  <c r="T118" i="26" a="1"/>
  <c r="T118" i="26" s="1"/>
  <c r="S118" i="26" s="1"/>
  <c r="T119" i="26" a="1"/>
  <c r="T119" i="26" s="1"/>
  <c r="S119" i="26" s="1"/>
  <c r="T122" i="26" a="1"/>
  <c r="T122" i="26" s="1"/>
  <c r="S122" i="26" s="1"/>
  <c r="T123" i="26" a="1"/>
  <c r="T123" i="26" s="1"/>
  <c r="S123" i="26" s="1"/>
  <c r="T128" i="26" a="1"/>
  <c r="T128" i="26" s="1"/>
  <c r="S128" i="26" s="1"/>
  <c r="T129" i="26" a="1"/>
  <c r="T129" i="26" s="1"/>
  <c r="S129" i="26" s="1"/>
  <c r="T131" i="26" a="1"/>
  <c r="T131" i="26" s="1"/>
  <c r="S131" i="26" s="1"/>
  <c r="T133" i="26" a="1"/>
  <c r="T133" i="26" s="1"/>
  <c r="S133" i="26" s="1"/>
  <c r="T138" i="26" a="1"/>
  <c r="T138" i="26" s="1"/>
  <c r="S138" i="26" s="1"/>
  <c r="Z96" i="29"/>
  <c r="Y96" i="29"/>
  <c r="X96" i="29"/>
  <c r="W96" i="29"/>
  <c r="F96" i="29"/>
  <c r="Z19" i="29"/>
  <c r="Y19" i="29"/>
  <c r="X19" i="29"/>
  <c r="W19" i="29"/>
  <c r="F19" i="29"/>
  <c r="Z118" i="29"/>
  <c r="Y118" i="29"/>
  <c r="X118" i="29"/>
  <c r="W118" i="29"/>
  <c r="F118" i="29"/>
  <c r="Z103" i="29"/>
  <c r="Y103" i="29"/>
  <c r="X103" i="29"/>
  <c r="W103" i="29"/>
  <c r="F103" i="29"/>
  <c r="Z122" i="29"/>
  <c r="Y122" i="29"/>
  <c r="X122" i="29"/>
  <c r="W122" i="29"/>
  <c r="F122" i="29"/>
  <c r="Z64" i="29"/>
  <c r="Y64" i="29"/>
  <c r="X64" i="29"/>
  <c r="W64" i="29"/>
  <c r="F64" i="29"/>
  <c r="Z85" i="29"/>
  <c r="Y85" i="29"/>
  <c r="X85" i="29"/>
  <c r="W85" i="29"/>
  <c r="F85" i="29"/>
  <c r="Y15" i="26"/>
  <c r="X15" i="26"/>
  <c r="W15" i="26"/>
  <c r="V15" i="26"/>
  <c r="H15" i="26"/>
  <c r="E15" i="26"/>
  <c r="Y13" i="26"/>
  <c r="X13" i="26"/>
  <c r="W13" i="26"/>
  <c r="V13" i="26"/>
  <c r="H13" i="26"/>
  <c r="E13" i="26"/>
  <c r="Y10" i="26"/>
  <c r="X10" i="26"/>
  <c r="W10" i="26"/>
  <c r="V10" i="26"/>
  <c r="H10" i="26"/>
  <c r="E10" i="26"/>
  <c r="Y82" i="26"/>
  <c r="X82" i="26"/>
  <c r="W82" i="26"/>
  <c r="V82" i="26"/>
  <c r="H82" i="26"/>
  <c r="E82" i="26"/>
  <c r="E85" i="26"/>
  <c r="Y85" i="26"/>
  <c r="X85" i="26"/>
  <c r="W85" i="26"/>
  <c r="V85" i="26"/>
  <c r="H85" i="26"/>
  <c r="Y88" i="26"/>
  <c r="X88" i="26"/>
  <c r="W88" i="26"/>
  <c r="V88" i="26"/>
  <c r="H88" i="26"/>
  <c r="E88" i="26"/>
  <c r="Y33" i="26"/>
  <c r="X33" i="26"/>
  <c r="W33" i="26"/>
  <c r="V33" i="26"/>
  <c r="H33" i="26"/>
  <c r="E33" i="26"/>
  <c r="Y131" i="26"/>
  <c r="X131" i="26"/>
  <c r="W131" i="26"/>
  <c r="V131" i="26"/>
  <c r="H131" i="26"/>
  <c r="E131" i="26"/>
  <c r="Y138" i="26"/>
  <c r="X138" i="26"/>
  <c r="W138" i="26"/>
  <c r="V138" i="26"/>
  <c r="E138" i="26"/>
  <c r="H138" i="26"/>
  <c r="Y116" i="26"/>
  <c r="X116" i="26"/>
  <c r="W116" i="26"/>
  <c r="V116" i="26"/>
  <c r="H116" i="26"/>
  <c r="E116" i="26"/>
  <c r="Y119" i="26"/>
  <c r="X119" i="26"/>
  <c r="W119" i="26"/>
  <c r="V119" i="26"/>
  <c r="H119" i="26"/>
  <c r="E119" i="26"/>
  <c r="Y115" i="26"/>
  <c r="X115" i="26"/>
  <c r="W115" i="26"/>
  <c r="V115" i="26"/>
  <c r="H115" i="26"/>
  <c r="E115" i="26"/>
  <c r="Y28" i="26"/>
  <c r="X28" i="26"/>
  <c r="W28" i="26"/>
  <c r="V28" i="26"/>
  <c r="H28" i="26"/>
  <c r="E28" i="26"/>
  <c r="Y21" i="26"/>
  <c r="X21" i="26"/>
  <c r="W21" i="26"/>
  <c r="V21" i="26"/>
  <c r="H21" i="26"/>
  <c r="E21" i="26"/>
  <c r="Y30" i="26"/>
  <c r="X30" i="26"/>
  <c r="W30" i="26"/>
  <c r="V30" i="26"/>
  <c r="H30" i="26"/>
  <c r="E30" i="26"/>
  <c r="Y23" i="26"/>
  <c r="X23" i="26"/>
  <c r="W23" i="26"/>
  <c r="V23" i="26"/>
  <c r="H23" i="26"/>
  <c r="E23" i="26"/>
  <c r="Y26" i="26"/>
  <c r="X26" i="26"/>
  <c r="W26" i="26"/>
  <c r="V26" i="26"/>
  <c r="H26" i="26"/>
  <c r="E26" i="26"/>
  <c r="Y36" i="26"/>
  <c r="X36" i="26"/>
  <c r="W36" i="26"/>
  <c r="V36" i="26"/>
  <c r="H36" i="26"/>
  <c r="E36" i="26"/>
  <c r="Y35" i="26"/>
  <c r="X35" i="26"/>
  <c r="W35" i="26"/>
  <c r="V35" i="26"/>
  <c r="H35" i="26"/>
  <c r="E35" i="26"/>
  <c r="Y3" i="26"/>
  <c r="X3" i="26"/>
  <c r="W3" i="26"/>
  <c r="V3" i="26"/>
  <c r="H3" i="26"/>
  <c r="E3" i="26"/>
  <c r="Y2" i="26"/>
  <c r="X2" i="26"/>
  <c r="W2" i="26"/>
  <c r="V2" i="26"/>
  <c r="H2" i="26"/>
  <c r="E2" i="26"/>
  <c r="Z9" i="28"/>
  <c r="Y9" i="28"/>
  <c r="X9" i="28"/>
  <c r="W9" i="28"/>
  <c r="I9" i="28"/>
  <c r="F9" i="28"/>
  <c r="Z5" i="28"/>
  <c r="Y5" i="28"/>
  <c r="X5" i="28"/>
  <c r="W5" i="28"/>
  <c r="I5" i="28"/>
  <c r="F5" i="28"/>
  <c r="Z13" i="28"/>
  <c r="Y13" i="28"/>
  <c r="X13" i="28"/>
  <c r="W13" i="28"/>
  <c r="I13" i="28"/>
  <c r="F13" i="28"/>
  <c r="Z35" i="28"/>
  <c r="Y35" i="28"/>
  <c r="X35" i="28"/>
  <c r="W35" i="28"/>
  <c r="I35" i="28"/>
  <c r="F35" i="28"/>
  <c r="Z32" i="28"/>
  <c r="Y32" i="28"/>
  <c r="X32" i="28"/>
  <c r="W32" i="28"/>
  <c r="I32" i="28"/>
  <c r="F32" i="28"/>
  <c r="Z29" i="28"/>
  <c r="Y29" i="28"/>
  <c r="X29" i="28"/>
  <c r="W29" i="28"/>
  <c r="I29" i="28"/>
  <c r="F29" i="28"/>
  <c r="Z4" i="28"/>
  <c r="Y4" i="28"/>
  <c r="X4" i="28"/>
  <c r="W4" i="28"/>
  <c r="I4" i="28"/>
  <c r="F4" i="28"/>
  <c r="Z76" i="28"/>
  <c r="Y76" i="28"/>
  <c r="X76" i="28"/>
  <c r="W76" i="28"/>
  <c r="I76" i="28"/>
  <c r="F76" i="28"/>
  <c r="Z54" i="28"/>
  <c r="Y54" i="28"/>
  <c r="X54" i="28"/>
  <c r="W54" i="28"/>
  <c r="I54" i="28"/>
  <c r="F54" i="28"/>
  <c r="Z88" i="28"/>
  <c r="Y88" i="28"/>
  <c r="X88" i="28"/>
  <c r="W88" i="28"/>
  <c r="I88" i="28"/>
  <c r="F88" i="28"/>
  <c r="Z101" i="28"/>
  <c r="Y101" i="28"/>
  <c r="X101" i="28"/>
  <c r="W101" i="28"/>
  <c r="I101" i="28"/>
  <c r="F101" i="28"/>
  <c r="Z122" i="28"/>
  <c r="Y122" i="28"/>
  <c r="X122" i="28"/>
  <c r="W122" i="28"/>
  <c r="I122" i="28"/>
  <c r="F122" i="28"/>
  <c r="Z25" i="28"/>
  <c r="Y25" i="28"/>
  <c r="X25" i="28"/>
  <c r="W25" i="28"/>
  <c r="I25" i="28"/>
  <c r="F25" i="28"/>
  <c r="Z33" i="29"/>
  <c r="Y33" i="29"/>
  <c r="X33" i="29"/>
  <c r="W33" i="29"/>
  <c r="F33" i="29"/>
  <c r="F98" i="29"/>
  <c r="W98" i="29"/>
  <c r="X98" i="29"/>
  <c r="Y98" i="29"/>
  <c r="Z98" i="29"/>
  <c r="Z5" i="29"/>
  <c r="Y5" i="29"/>
  <c r="X5" i="29"/>
  <c r="W5" i="29"/>
  <c r="F5" i="29"/>
  <c r="Z127" i="29"/>
  <c r="Y127" i="29"/>
  <c r="X127" i="29"/>
  <c r="W127" i="29"/>
  <c r="F127" i="29"/>
  <c r="F29" i="29"/>
  <c r="W29" i="29"/>
  <c r="X29" i="29"/>
  <c r="Y29" i="29"/>
  <c r="Z29" i="29"/>
  <c r="Z45" i="29"/>
  <c r="Y45" i="29"/>
  <c r="X45" i="29"/>
  <c r="W45" i="29"/>
  <c r="F45" i="29"/>
  <c r="Z41" i="29"/>
  <c r="Y41" i="29"/>
  <c r="X41" i="29"/>
  <c r="W41" i="29"/>
  <c r="F41" i="29"/>
  <c r="AA122" i="28" l="1"/>
  <c r="AA117" i="28"/>
  <c r="AA105" i="28"/>
  <c r="AA100" i="28"/>
  <c r="AA97" i="28"/>
  <c r="AA94" i="28"/>
  <c r="AA91" i="28"/>
  <c r="AA88" i="28"/>
  <c r="AA86" i="28"/>
  <c r="AA84" i="28"/>
  <c r="AA82" i="28"/>
  <c r="AA80" i="28"/>
  <c r="AA78" i="28"/>
  <c r="AA74" i="28"/>
  <c r="AA72" i="28"/>
  <c r="AA70" i="28"/>
  <c r="AA68" i="28"/>
  <c r="AA66" i="28"/>
  <c r="AA64" i="28"/>
  <c r="AA62" i="28"/>
  <c r="AA60" i="28"/>
  <c r="AA58" i="28"/>
  <c r="AA56" i="28"/>
  <c r="AA54" i="28"/>
  <c r="AA51" i="28"/>
  <c r="AA49" i="28"/>
  <c r="AA47" i="28"/>
  <c r="AA42" i="28"/>
  <c r="AA39" i="28"/>
  <c r="AA37" i="28"/>
  <c r="AA35" i="28"/>
  <c r="AA33" i="28"/>
  <c r="AA31" i="28"/>
  <c r="AA29" i="28"/>
  <c r="AA27" i="28"/>
  <c r="AA24" i="28"/>
  <c r="AA22" i="28"/>
  <c r="AA19" i="28"/>
  <c r="AA17" i="28"/>
  <c r="AA15" i="28"/>
  <c r="AA13" i="28"/>
  <c r="AA11" i="28"/>
  <c r="AA8" i="28"/>
  <c r="AA4" i="28"/>
  <c r="AA124" i="28"/>
  <c r="AA118" i="28"/>
  <c r="AA106" i="28"/>
  <c r="AA101" i="28"/>
  <c r="AA99" i="28"/>
  <c r="AA96" i="28"/>
  <c r="AA93" i="28"/>
  <c r="AA89" i="28"/>
  <c r="AA87" i="28"/>
  <c r="AA85" i="28"/>
  <c r="AA83" i="28"/>
  <c r="AA81" i="28"/>
  <c r="AA79" i="28"/>
  <c r="AA76" i="28"/>
  <c r="AA73" i="28"/>
  <c r="AA71" i="28"/>
  <c r="AA69" i="28"/>
  <c r="AA67" i="28"/>
  <c r="AA65" i="28"/>
  <c r="AA63" i="28"/>
  <c r="AA61" i="28"/>
  <c r="AA59" i="28"/>
  <c r="AA57" i="28"/>
  <c r="AA55" i="28"/>
  <c r="AA53" i="28"/>
  <c r="AA50" i="28"/>
  <c r="AA48" i="28"/>
  <c r="AA43" i="28"/>
  <c r="AA40" i="28"/>
  <c r="AA38" i="28"/>
  <c r="AA36" i="28"/>
  <c r="AA34" i="28"/>
  <c r="AA32" i="28"/>
  <c r="AA30" i="28"/>
  <c r="AA28" i="28"/>
  <c r="AA25" i="28"/>
  <c r="AA23" i="28"/>
  <c r="AA21" i="28"/>
  <c r="AA18" i="28"/>
  <c r="AA16" i="28"/>
  <c r="AA14" i="28"/>
  <c r="AA12" i="28"/>
  <c r="AA9" i="28"/>
  <c r="AA5" i="28"/>
  <c r="AA6" i="28"/>
  <c r="Z89" i="29"/>
  <c r="Y89" i="29"/>
  <c r="X89" i="29"/>
  <c r="W89" i="29"/>
  <c r="F89" i="29"/>
  <c r="Y105" i="26"/>
  <c r="X105" i="26"/>
  <c r="W105" i="26"/>
  <c r="V105" i="26"/>
  <c r="H105" i="26"/>
  <c r="E105" i="26"/>
  <c r="Y87" i="26"/>
  <c r="X87" i="26"/>
  <c r="W87" i="26"/>
  <c r="V87" i="26"/>
  <c r="H87" i="26"/>
  <c r="E87" i="26"/>
  <c r="E81" i="26"/>
  <c r="H81" i="26"/>
  <c r="V81" i="26"/>
  <c r="W81" i="26"/>
  <c r="X81" i="26"/>
  <c r="Y81" i="26"/>
  <c r="E14" i="26"/>
  <c r="Y14" i="26"/>
  <c r="X14" i="26"/>
  <c r="W14" i="26"/>
  <c r="V14" i="26"/>
  <c r="H14" i="26"/>
  <c r="Z24" i="28"/>
  <c r="Y24" i="28"/>
  <c r="X24" i="28"/>
  <c r="W24" i="28"/>
  <c r="I24" i="28"/>
  <c r="F24" i="28"/>
  <c r="I3" i="28" l="1"/>
  <c r="F36" i="28"/>
  <c r="I36" i="28"/>
  <c r="W36" i="28"/>
  <c r="X36" i="28"/>
  <c r="Y36" i="28"/>
  <c r="Z36" i="28"/>
  <c r="Z23" i="28"/>
  <c r="Y23" i="28"/>
  <c r="X23" i="28"/>
  <c r="W23" i="28"/>
  <c r="I23" i="28"/>
  <c r="F23" i="28"/>
  <c r="I14" i="28"/>
  <c r="I15" i="28"/>
  <c r="I16" i="28"/>
  <c r="I17" i="28"/>
  <c r="I18" i="28"/>
  <c r="Z16" i="28"/>
  <c r="Y16" i="28"/>
  <c r="X16" i="28"/>
  <c r="W16" i="28"/>
  <c r="F16" i="28"/>
  <c r="Z19" i="28"/>
  <c r="Y19" i="28"/>
  <c r="X19" i="28"/>
  <c r="W19" i="28"/>
  <c r="I19" i="28"/>
  <c r="F19" i="28"/>
  <c r="Z63" i="28"/>
  <c r="Y63" i="28"/>
  <c r="X63" i="28"/>
  <c r="W63" i="28"/>
  <c r="I63" i="28"/>
  <c r="F63" i="28"/>
  <c r="Z55" i="28"/>
  <c r="Y55" i="28"/>
  <c r="X55" i="28"/>
  <c r="W55" i="28"/>
  <c r="I55" i="28"/>
  <c r="F55" i="28"/>
  <c r="Z97" i="28"/>
  <c r="Y97" i="28"/>
  <c r="X97" i="28"/>
  <c r="W97" i="28"/>
  <c r="I97" i="28"/>
  <c r="F97" i="28"/>
  <c r="Z100" i="28"/>
  <c r="Y100" i="28"/>
  <c r="X100" i="28"/>
  <c r="W100" i="28"/>
  <c r="I100" i="28"/>
  <c r="F100" i="28"/>
  <c r="Z91" i="28"/>
  <c r="Y91" i="28"/>
  <c r="X91" i="28"/>
  <c r="W91" i="28"/>
  <c r="I91" i="28"/>
  <c r="F91" i="28"/>
  <c r="F117" i="28"/>
  <c r="I117" i="28"/>
  <c r="W117" i="28"/>
  <c r="X117" i="28"/>
  <c r="Y117" i="28"/>
  <c r="Z117" i="28"/>
  <c r="W118" i="28"/>
  <c r="F118" i="28"/>
  <c r="I118" i="28"/>
  <c r="X118" i="28"/>
  <c r="Y118" i="28"/>
  <c r="Z118" i="28"/>
  <c r="F124" i="28"/>
  <c r="I124" i="28"/>
  <c r="W124" i="28"/>
  <c r="X124" i="28"/>
  <c r="Y124" i="28"/>
  <c r="Z124" i="28"/>
  <c r="Y74" i="26"/>
  <c r="X74" i="26"/>
  <c r="W74" i="26"/>
  <c r="V74" i="26"/>
  <c r="H74" i="26"/>
  <c r="E74" i="26"/>
  <c r="Y73" i="26"/>
  <c r="X73" i="26"/>
  <c r="W73" i="26"/>
  <c r="V73" i="26"/>
  <c r="H73" i="26"/>
  <c r="E73" i="26"/>
  <c r="Y71" i="26"/>
  <c r="X71" i="26"/>
  <c r="W71" i="26"/>
  <c r="V71" i="26"/>
  <c r="H71" i="26"/>
  <c r="E71" i="26"/>
  <c r="Y57" i="26"/>
  <c r="X57" i="26"/>
  <c r="W57" i="26"/>
  <c r="V57" i="26"/>
  <c r="H57" i="26"/>
  <c r="E57" i="26"/>
  <c r="Y56" i="26"/>
  <c r="X56" i="26"/>
  <c r="W56" i="26"/>
  <c r="V56" i="26"/>
  <c r="H56" i="26"/>
  <c r="E56" i="26"/>
  <c r="Z59" i="29" l="1"/>
  <c r="Y59" i="29"/>
  <c r="X59" i="29"/>
  <c r="W59" i="29"/>
  <c r="F59" i="29"/>
  <c r="F78" i="28"/>
  <c r="I78" i="28"/>
  <c r="W78" i="28"/>
  <c r="X78" i="28"/>
  <c r="Y78" i="28"/>
  <c r="Z78" i="28"/>
  <c r="Z48" i="28" l="1"/>
  <c r="Y48" i="28"/>
  <c r="X48" i="28"/>
  <c r="W48" i="28"/>
  <c r="I48" i="28"/>
  <c r="F48" i="28"/>
  <c r="Z12" i="28"/>
  <c r="Y12" i="28"/>
  <c r="X12" i="28"/>
  <c r="W12" i="28"/>
  <c r="I12" i="28"/>
  <c r="F12" i="28"/>
  <c r="Z11" i="28"/>
  <c r="Y11" i="28"/>
  <c r="X11" i="28"/>
  <c r="W11" i="28"/>
  <c r="I11" i="28"/>
  <c r="F11" i="28"/>
  <c r="Z40" i="28"/>
  <c r="Y40" i="28"/>
  <c r="X40" i="28"/>
  <c r="W40" i="28"/>
  <c r="I40" i="28"/>
  <c r="F40" i="28"/>
  <c r="Z38" i="28"/>
  <c r="Y38" i="28"/>
  <c r="X38" i="28"/>
  <c r="W38" i="28"/>
  <c r="I38" i="28"/>
  <c r="F38" i="28"/>
  <c r="Z34" i="28"/>
  <c r="Y34" i="28"/>
  <c r="X34" i="28"/>
  <c r="W34" i="28"/>
  <c r="I34" i="28"/>
  <c r="F34" i="28"/>
  <c r="Z31" i="28"/>
  <c r="Y31" i="28"/>
  <c r="X31" i="28"/>
  <c r="W31" i="28"/>
  <c r="I31" i="28"/>
  <c r="F31" i="28"/>
  <c r="Z28" i="28"/>
  <c r="Y28" i="28"/>
  <c r="X28" i="28"/>
  <c r="W28" i="28"/>
  <c r="I28" i="28"/>
  <c r="F28" i="28"/>
  <c r="Z53" i="28"/>
  <c r="Y53" i="28"/>
  <c r="X53" i="28"/>
  <c r="W53" i="28"/>
  <c r="I53" i="28"/>
  <c r="F53" i="28"/>
  <c r="Z51" i="28"/>
  <c r="Y51" i="28"/>
  <c r="X51" i="28"/>
  <c r="W51" i="28"/>
  <c r="I51" i="28"/>
  <c r="F51" i="28"/>
  <c r="Z49" i="28"/>
  <c r="Y49" i="28"/>
  <c r="X49" i="28"/>
  <c r="W49" i="28"/>
  <c r="I49" i="28"/>
  <c r="F49" i="28"/>
  <c r="Y4" i="26"/>
  <c r="X4" i="26"/>
  <c r="W4" i="26"/>
  <c r="V4" i="26"/>
  <c r="H4" i="26"/>
  <c r="E4" i="26"/>
  <c r="E8" i="26"/>
  <c r="H8" i="26"/>
  <c r="V8" i="26"/>
  <c r="W8" i="26"/>
  <c r="X8" i="26"/>
  <c r="Y8" i="26"/>
  <c r="E5" i="26"/>
  <c r="H5" i="26"/>
  <c r="V5" i="26"/>
  <c r="W5" i="26"/>
  <c r="X5" i="26"/>
  <c r="Y5" i="26"/>
  <c r="Y41" i="26"/>
  <c r="X41" i="26"/>
  <c r="W41" i="26"/>
  <c r="V41" i="26"/>
  <c r="H41" i="26"/>
  <c r="E41" i="26"/>
  <c r="Y39" i="26"/>
  <c r="X39" i="26"/>
  <c r="W39" i="26"/>
  <c r="V39" i="26"/>
  <c r="H39" i="26"/>
  <c r="E39" i="26"/>
  <c r="Y97" i="26"/>
  <c r="X97" i="26"/>
  <c r="W97" i="26"/>
  <c r="V97" i="26"/>
  <c r="H97" i="26"/>
  <c r="E97" i="26"/>
  <c r="Y100" i="26"/>
  <c r="X100" i="26"/>
  <c r="W100" i="26"/>
  <c r="V100" i="26"/>
  <c r="H100" i="26"/>
  <c r="E100" i="26"/>
  <c r="Y101" i="26"/>
  <c r="X101" i="26"/>
  <c r="W101" i="26"/>
  <c r="V101" i="26"/>
  <c r="H101" i="26"/>
  <c r="E101" i="26"/>
  <c r="Y94" i="26"/>
  <c r="X94" i="26"/>
  <c r="W94" i="26"/>
  <c r="V94" i="26"/>
  <c r="H94" i="26"/>
  <c r="E94" i="26"/>
  <c r="Y96" i="26"/>
  <c r="X96" i="26"/>
  <c r="W96" i="26"/>
  <c r="V96" i="26"/>
  <c r="H96" i="26"/>
  <c r="E96" i="26"/>
  <c r="Y89" i="26"/>
  <c r="X89" i="26"/>
  <c r="W89" i="26"/>
  <c r="V89" i="26"/>
  <c r="H89" i="26"/>
  <c r="E89" i="26"/>
  <c r="Y129" i="26"/>
  <c r="X129" i="26"/>
  <c r="W129" i="26"/>
  <c r="V129" i="26"/>
  <c r="H129" i="26"/>
  <c r="E129" i="26"/>
  <c r="Y102" i="26"/>
  <c r="X102" i="26"/>
  <c r="W102" i="26"/>
  <c r="V102" i="26"/>
  <c r="H102" i="26"/>
  <c r="E102" i="26"/>
  <c r="Y104" i="26"/>
  <c r="X104" i="26"/>
  <c r="W104" i="26"/>
  <c r="V104" i="26"/>
  <c r="H104" i="26"/>
  <c r="E104" i="26"/>
  <c r="Z18" i="29"/>
  <c r="Y18" i="29"/>
  <c r="X18" i="29"/>
  <c r="W18" i="29"/>
  <c r="F18" i="29"/>
  <c r="Z95" i="29"/>
  <c r="Y95" i="29"/>
  <c r="X95" i="29"/>
  <c r="W95" i="29"/>
  <c r="F95" i="29"/>
  <c r="Z70" i="29"/>
  <c r="Y70" i="29"/>
  <c r="X70" i="29"/>
  <c r="W70" i="29"/>
  <c r="F70" i="29"/>
  <c r="Z67" i="29"/>
  <c r="Y67" i="29"/>
  <c r="X67" i="29"/>
  <c r="W67" i="29"/>
  <c r="F67" i="29"/>
  <c r="Z63" i="29"/>
  <c r="Y63" i="29"/>
  <c r="X63" i="29"/>
  <c r="W63" i="29"/>
  <c r="F63" i="29"/>
  <c r="Z112" i="29"/>
  <c r="Y112" i="29"/>
  <c r="X112" i="29"/>
  <c r="W112" i="29"/>
  <c r="F112" i="29"/>
  <c r="Z109" i="29"/>
  <c r="Y109" i="29"/>
  <c r="X109" i="29"/>
  <c r="W109" i="29"/>
  <c r="F109" i="29"/>
  <c r="Z83" i="28"/>
  <c r="Y83" i="28"/>
  <c r="X83" i="28"/>
  <c r="W83" i="28"/>
  <c r="I83" i="28"/>
  <c r="F83" i="28"/>
  <c r="Z82" i="28"/>
  <c r="Y82" i="28"/>
  <c r="X82" i="28"/>
  <c r="W82" i="28"/>
  <c r="I82" i="28"/>
  <c r="F82" i="28"/>
  <c r="Z87" i="28"/>
  <c r="Y87" i="28"/>
  <c r="X87" i="28"/>
  <c r="W87" i="28"/>
  <c r="I87" i="28"/>
  <c r="F87" i="28"/>
  <c r="Z80" i="28"/>
  <c r="Y80" i="28"/>
  <c r="X80" i="28"/>
  <c r="W80" i="28"/>
  <c r="I80" i="28"/>
  <c r="F80" i="28"/>
  <c r="Z81" i="28"/>
  <c r="Y81" i="28"/>
  <c r="X81" i="28"/>
  <c r="W81" i="28"/>
  <c r="I81" i="28"/>
  <c r="F81" i="28"/>
  <c r="Z3" i="28"/>
  <c r="Y3" i="28"/>
  <c r="X3" i="28"/>
  <c r="W3" i="28"/>
  <c r="F3" i="28"/>
  <c r="F6" i="28"/>
  <c r="I6" i="28"/>
  <c r="W6" i="28"/>
  <c r="X6" i="28"/>
  <c r="Y6" i="28"/>
  <c r="Z6" i="28"/>
  <c r="Z50" i="28"/>
  <c r="Y50" i="28"/>
  <c r="X50" i="28"/>
  <c r="W50" i="28"/>
  <c r="I50" i="28"/>
  <c r="F50" i="28"/>
  <c r="Z102" i="29"/>
  <c r="Y102" i="29"/>
  <c r="X102" i="29"/>
  <c r="W102" i="29"/>
  <c r="F102" i="29"/>
  <c r="Z101" i="29"/>
  <c r="Y101" i="29"/>
  <c r="X101" i="29"/>
  <c r="W101" i="29"/>
  <c r="F101" i="29"/>
  <c r="Z99" i="29"/>
  <c r="Y99" i="29"/>
  <c r="X99" i="29"/>
  <c r="W99" i="29"/>
  <c r="F99" i="29"/>
  <c r="Z108" i="29"/>
  <c r="Y108" i="29"/>
  <c r="X108" i="29"/>
  <c r="W108" i="29"/>
  <c r="F108" i="29"/>
  <c r="Z116" i="29"/>
  <c r="Y116" i="29"/>
  <c r="X116" i="29"/>
  <c r="W116" i="29"/>
  <c r="F116" i="29"/>
  <c r="Z113" i="29"/>
  <c r="Y113" i="29"/>
  <c r="X113" i="29"/>
  <c r="W113" i="29"/>
  <c r="F113" i="29"/>
  <c r="Z126" i="29"/>
  <c r="Y126" i="29"/>
  <c r="X126" i="29"/>
  <c r="W126" i="29"/>
  <c r="F126" i="29"/>
  <c r="F38" i="29"/>
  <c r="W38" i="29"/>
  <c r="X38" i="29"/>
  <c r="Y38" i="29"/>
  <c r="Z38" i="29"/>
  <c r="E34" i="26" l="1"/>
  <c r="H34" i="26"/>
  <c r="V34" i="26"/>
  <c r="W34" i="26"/>
  <c r="X34" i="26"/>
  <c r="Y34" i="26"/>
  <c r="H27" i="26"/>
  <c r="V27" i="26"/>
  <c r="W27" i="26"/>
  <c r="X27" i="26"/>
  <c r="Y27" i="26"/>
  <c r="E27" i="26"/>
  <c r="E25" i="26"/>
  <c r="H25" i="26"/>
  <c r="V25" i="26"/>
  <c r="W25" i="26"/>
  <c r="X25" i="26"/>
  <c r="Y25" i="26"/>
  <c r="E22" i="26"/>
  <c r="H22" i="26"/>
  <c r="V22" i="26"/>
  <c r="W22" i="26"/>
  <c r="X22" i="26"/>
  <c r="Y22" i="26"/>
  <c r="E20" i="26"/>
  <c r="H20" i="26"/>
  <c r="V20" i="26"/>
  <c r="W20" i="26"/>
  <c r="X20" i="26"/>
  <c r="Y20" i="26"/>
  <c r="Y72" i="26"/>
  <c r="X72" i="26"/>
  <c r="W72" i="26"/>
  <c r="V72" i="26"/>
  <c r="H72" i="26"/>
  <c r="E72" i="26"/>
  <c r="E9" i="26"/>
  <c r="H9" i="26"/>
  <c r="V9" i="26"/>
  <c r="W9" i="26"/>
  <c r="X9" i="26"/>
  <c r="Y9" i="26"/>
  <c r="E77" i="26"/>
  <c r="H77" i="26"/>
  <c r="V77" i="26"/>
  <c r="W77" i="26"/>
  <c r="X77" i="26"/>
  <c r="Y77" i="26"/>
  <c r="E68" i="26"/>
  <c r="H68" i="26"/>
  <c r="V68" i="26"/>
  <c r="W68" i="26"/>
  <c r="X68" i="26"/>
  <c r="Y68" i="26"/>
  <c r="E65" i="26"/>
  <c r="H65" i="26"/>
  <c r="V65" i="26"/>
  <c r="W65" i="26"/>
  <c r="X65" i="26"/>
  <c r="Y65" i="26"/>
  <c r="Y64" i="26"/>
  <c r="X64" i="26"/>
  <c r="W64" i="26"/>
  <c r="V64" i="26"/>
  <c r="H64" i="26"/>
  <c r="E64" i="26"/>
  <c r="Y62" i="26"/>
  <c r="X62" i="26"/>
  <c r="W62" i="26"/>
  <c r="V62" i="26"/>
  <c r="H62" i="26"/>
  <c r="E62" i="26"/>
  <c r="Y37" i="26"/>
  <c r="Y38" i="26"/>
  <c r="Y49" i="26"/>
  <c r="Y50" i="26"/>
  <c r="Y51" i="26"/>
  <c r="Y52" i="26"/>
  <c r="Y53" i="26"/>
  <c r="Y54" i="26"/>
  <c r="Y55" i="26"/>
  <c r="Y58" i="26"/>
  <c r="Y59" i="26"/>
  <c r="Y60" i="26"/>
  <c r="Y61" i="26"/>
  <c r="Y63" i="26"/>
  <c r="Y66" i="26"/>
  <c r="Y67" i="26"/>
  <c r="Y69" i="26"/>
  <c r="Y70" i="26"/>
  <c r="Y75" i="26"/>
  <c r="Y76" i="26"/>
  <c r="Y78" i="26"/>
  <c r="Y79" i="26"/>
  <c r="Y80" i="26"/>
  <c r="Y92" i="26"/>
  <c r="Y93" i="26"/>
  <c r="Y95" i="26"/>
  <c r="Y103" i="26"/>
  <c r="Y107" i="26"/>
  <c r="Y110" i="26"/>
  <c r="Y111" i="26"/>
  <c r="Y112" i="26"/>
  <c r="Y113" i="26"/>
  <c r="Y117" i="26"/>
  <c r="Y118" i="26"/>
  <c r="Y122" i="26"/>
  <c r="Y123" i="26"/>
  <c r="Y128" i="26"/>
  <c r="Y133" i="26"/>
  <c r="X37" i="26"/>
  <c r="X38" i="26"/>
  <c r="X49" i="26"/>
  <c r="X50" i="26"/>
  <c r="X51" i="26"/>
  <c r="X52" i="26"/>
  <c r="X53" i="26"/>
  <c r="X54" i="26"/>
  <c r="X55" i="26"/>
  <c r="X58" i="26"/>
  <c r="X59" i="26"/>
  <c r="X60" i="26"/>
  <c r="X61" i="26"/>
  <c r="X63" i="26"/>
  <c r="X66" i="26"/>
  <c r="X67" i="26"/>
  <c r="X69" i="26"/>
  <c r="X70" i="26"/>
  <c r="X75" i="26"/>
  <c r="X76" i="26"/>
  <c r="X78" i="26"/>
  <c r="X79" i="26"/>
  <c r="X80" i="26"/>
  <c r="X92" i="26"/>
  <c r="X93" i="26"/>
  <c r="X95" i="26"/>
  <c r="X103" i="26"/>
  <c r="X107" i="26"/>
  <c r="X110" i="26"/>
  <c r="X111" i="26"/>
  <c r="X112" i="26"/>
  <c r="X113" i="26"/>
  <c r="X117" i="26"/>
  <c r="X118" i="26"/>
  <c r="X122" i="26"/>
  <c r="X123" i="26"/>
  <c r="X128" i="26"/>
  <c r="X133" i="26"/>
  <c r="W37" i="26"/>
  <c r="W38" i="26"/>
  <c r="W49" i="26"/>
  <c r="W50" i="26"/>
  <c r="W51" i="26"/>
  <c r="W52" i="26"/>
  <c r="W53" i="26"/>
  <c r="W54" i="26"/>
  <c r="W55" i="26"/>
  <c r="W58" i="26"/>
  <c r="W59" i="26"/>
  <c r="W60" i="26"/>
  <c r="W61" i="26"/>
  <c r="W63" i="26"/>
  <c r="W66" i="26"/>
  <c r="W67" i="26"/>
  <c r="W69" i="26"/>
  <c r="W70" i="26"/>
  <c r="W75" i="26"/>
  <c r="W76" i="26"/>
  <c r="W78" i="26"/>
  <c r="W79" i="26"/>
  <c r="W80" i="26"/>
  <c r="W92" i="26"/>
  <c r="W93" i="26"/>
  <c r="W95" i="26"/>
  <c r="W103" i="26"/>
  <c r="W107" i="26"/>
  <c r="W110" i="26"/>
  <c r="W111" i="26"/>
  <c r="W112" i="26"/>
  <c r="W113" i="26"/>
  <c r="W117" i="26"/>
  <c r="W118" i="26"/>
  <c r="W122" i="26"/>
  <c r="W123" i="26"/>
  <c r="W128" i="26"/>
  <c r="W133" i="26"/>
  <c r="H37" i="26"/>
  <c r="H38" i="26"/>
  <c r="H49" i="26"/>
  <c r="H50" i="26"/>
  <c r="H51" i="26"/>
  <c r="H52" i="26"/>
  <c r="H53" i="26"/>
  <c r="H54" i="26"/>
  <c r="H55" i="26"/>
  <c r="H58" i="26"/>
  <c r="H59" i="26"/>
  <c r="H60" i="26"/>
  <c r="H61" i="26"/>
  <c r="H63" i="26"/>
  <c r="H66" i="26"/>
  <c r="H67" i="26"/>
  <c r="H69" i="26"/>
  <c r="H70" i="26"/>
  <c r="H75" i="26"/>
  <c r="H76" i="26"/>
  <c r="H78" i="26"/>
  <c r="H79" i="26"/>
  <c r="H80" i="26"/>
  <c r="H92" i="26"/>
  <c r="H93" i="26"/>
  <c r="H95" i="26"/>
  <c r="H103" i="26"/>
  <c r="H107" i="26"/>
  <c r="H110" i="26"/>
  <c r="H111" i="26"/>
  <c r="H112" i="26"/>
  <c r="H113" i="26"/>
  <c r="H117" i="26"/>
  <c r="H118" i="26"/>
  <c r="H122" i="26"/>
  <c r="H123" i="26"/>
  <c r="H128" i="26"/>
  <c r="H133" i="26"/>
  <c r="E49" i="26"/>
  <c r="V49" i="26"/>
  <c r="V55" i="26"/>
  <c r="E55" i="26"/>
  <c r="V51" i="26"/>
  <c r="E51" i="26"/>
  <c r="F128" i="29"/>
  <c r="W128" i="29"/>
  <c r="X128" i="29"/>
  <c r="Z128" i="29"/>
  <c r="Y128" i="29"/>
  <c r="W4" i="29"/>
  <c r="X4" i="29"/>
  <c r="Z4" i="29"/>
  <c r="Y4" i="29"/>
  <c r="F4" i="29"/>
  <c r="V111" i="26"/>
  <c r="E111" i="26"/>
  <c r="V113" i="26"/>
  <c r="E113" i="26"/>
  <c r="E93" i="26"/>
  <c r="E95" i="26"/>
  <c r="E37" i="26"/>
  <c r="E38" i="26"/>
  <c r="E50" i="26"/>
  <c r="E52" i="26"/>
  <c r="E53" i="26"/>
  <c r="E54" i="26"/>
  <c r="E58" i="26"/>
  <c r="E59" i="26"/>
  <c r="E60" i="26"/>
  <c r="E61" i="26"/>
  <c r="E63" i="26"/>
  <c r="E66" i="26"/>
  <c r="E67" i="26"/>
  <c r="E69" i="26"/>
  <c r="E70" i="26"/>
  <c r="E75" i="26"/>
  <c r="E76" i="26"/>
  <c r="E78" i="26"/>
  <c r="E79" i="26"/>
  <c r="E80" i="26"/>
  <c r="E103" i="26"/>
  <c r="E107" i="26"/>
  <c r="E110" i="26"/>
  <c r="E112" i="26"/>
  <c r="E117" i="26"/>
  <c r="E118" i="26"/>
  <c r="E92" i="26"/>
  <c r="E122" i="26"/>
  <c r="E123" i="26"/>
  <c r="E128" i="26"/>
  <c r="E133" i="26"/>
  <c r="V93" i="26"/>
  <c r="V95" i="26"/>
  <c r="V92" i="26"/>
  <c r="W47" i="28"/>
  <c r="X47" i="28"/>
  <c r="Z47" i="28"/>
  <c r="Y47" i="28"/>
  <c r="I47" i="28"/>
  <c r="F47" i="28"/>
  <c r="W8" i="28"/>
  <c r="X8" i="28"/>
  <c r="Z8" i="28"/>
  <c r="Y8" i="28"/>
  <c r="I8" i="28"/>
  <c r="F8" i="28"/>
  <c r="W43" i="28"/>
  <c r="X43" i="28"/>
  <c r="Z43" i="28"/>
  <c r="Y43" i="28"/>
  <c r="I43" i="28"/>
  <c r="F43" i="28"/>
  <c r="W42" i="28"/>
  <c r="X42" i="28"/>
  <c r="Z42" i="28"/>
  <c r="Y42" i="28"/>
  <c r="I42" i="28"/>
  <c r="F42" i="28"/>
  <c r="W39" i="28"/>
  <c r="X39" i="28"/>
  <c r="Z39" i="28"/>
  <c r="Y39" i="28"/>
  <c r="I39" i="28"/>
  <c r="F39" i="28"/>
  <c r="W37" i="28"/>
  <c r="X37" i="28"/>
  <c r="Z37" i="28"/>
  <c r="Y37" i="28"/>
  <c r="I37" i="28"/>
  <c r="F37" i="28"/>
  <c r="W62" i="28"/>
  <c r="X62" i="28"/>
  <c r="Z62" i="28"/>
  <c r="Y62" i="28"/>
  <c r="I62" i="28"/>
  <c r="F62" i="28"/>
  <c r="W60" i="28" l="1"/>
  <c r="X60" i="28"/>
  <c r="Z60" i="28"/>
  <c r="Y60" i="28"/>
  <c r="I60" i="28"/>
  <c r="F60" i="28"/>
  <c r="W27" i="28"/>
  <c r="X27" i="28"/>
  <c r="Z27" i="28"/>
  <c r="Y27" i="28"/>
  <c r="I27" i="28"/>
  <c r="F27" i="28"/>
  <c r="W30" i="28"/>
  <c r="X30" i="28"/>
  <c r="Z30" i="28"/>
  <c r="Y30" i="28"/>
  <c r="I30" i="28"/>
  <c r="F30" i="28"/>
  <c r="W33" i="28"/>
  <c r="X33" i="28"/>
  <c r="Z33" i="28"/>
  <c r="Y33" i="28"/>
  <c r="I33" i="28"/>
  <c r="F33" i="28"/>
  <c r="W71" i="28"/>
  <c r="X71" i="28"/>
  <c r="Z71" i="28"/>
  <c r="Y71" i="28"/>
  <c r="I71" i="28"/>
  <c r="F71" i="28"/>
  <c r="W107" i="29" l="1"/>
  <c r="X107" i="29"/>
  <c r="Z107" i="29"/>
  <c r="Y107" i="29"/>
  <c r="F107" i="29"/>
  <c r="W115" i="29"/>
  <c r="X115" i="29"/>
  <c r="Z115" i="29"/>
  <c r="Y115" i="29"/>
  <c r="F115" i="29"/>
  <c r="F111" i="29"/>
  <c r="F100" i="29"/>
  <c r="Y111" i="29"/>
  <c r="Y100" i="29"/>
  <c r="Z111" i="29"/>
  <c r="Z100" i="29"/>
  <c r="X111" i="29"/>
  <c r="X100" i="29"/>
  <c r="W111" i="29"/>
  <c r="W100" i="29"/>
  <c r="F175" i="29"/>
  <c r="Y175" i="29"/>
  <c r="Z175" i="29"/>
  <c r="X175" i="29"/>
  <c r="W175" i="29"/>
  <c r="F72" i="28" l="1"/>
  <c r="I72" i="28"/>
  <c r="Y72" i="28"/>
  <c r="Z72" i="28"/>
  <c r="X72" i="28"/>
  <c r="W72" i="28"/>
  <c r="W89" i="28"/>
  <c r="X89" i="28"/>
  <c r="Z89" i="28"/>
  <c r="Y89" i="28"/>
  <c r="I89" i="28"/>
  <c r="F89" i="28"/>
  <c r="W86" i="28"/>
  <c r="X86" i="28"/>
  <c r="Z86" i="28"/>
  <c r="Y86" i="28"/>
  <c r="I86" i="28"/>
  <c r="F86" i="28"/>
  <c r="F64" i="28" l="1"/>
  <c r="F65" i="28"/>
  <c r="F66" i="28"/>
  <c r="F67" i="28"/>
  <c r="I64" i="28"/>
  <c r="I65" i="28"/>
  <c r="I66" i="28"/>
  <c r="I67" i="28"/>
  <c r="Y64" i="28"/>
  <c r="Y65" i="28"/>
  <c r="Y66" i="28"/>
  <c r="Y67" i="28"/>
  <c r="Z64" i="28"/>
  <c r="Z65" i="28"/>
  <c r="Z66" i="28"/>
  <c r="Z67" i="28"/>
  <c r="X64" i="28"/>
  <c r="X65" i="28"/>
  <c r="X66" i="28"/>
  <c r="X67" i="28"/>
  <c r="W64" i="28"/>
  <c r="W65" i="28"/>
  <c r="W66" i="28"/>
  <c r="W67" i="28"/>
  <c r="F84" i="28" l="1"/>
  <c r="I84" i="28"/>
  <c r="Y84" i="28"/>
  <c r="Z84" i="28"/>
  <c r="X84" i="28"/>
  <c r="W84" i="28"/>
  <c r="F79" i="28"/>
  <c r="I79" i="28"/>
  <c r="Y79" i="28"/>
  <c r="Z79" i="28"/>
  <c r="X79" i="28"/>
  <c r="W79" i="28"/>
  <c r="F17" i="29"/>
  <c r="Y17" i="29"/>
  <c r="Z17" i="29"/>
  <c r="X17" i="29"/>
  <c r="W17" i="29"/>
  <c r="F8" i="29"/>
  <c r="Y8" i="29"/>
  <c r="Z8" i="29"/>
  <c r="X8" i="29"/>
  <c r="W8" i="29"/>
  <c r="W172" i="29" l="1"/>
  <c r="X172" i="29"/>
  <c r="Z172" i="29"/>
  <c r="Y172" i="29"/>
  <c r="F172" i="29"/>
  <c r="W170" i="29"/>
  <c r="X170" i="29"/>
  <c r="Z170" i="29"/>
  <c r="Y170" i="29"/>
  <c r="F170" i="29"/>
  <c r="W94" i="29"/>
  <c r="X94" i="29"/>
  <c r="Z94" i="29"/>
  <c r="Y94" i="29"/>
  <c r="F94" i="29"/>
  <c r="W91" i="29"/>
  <c r="X91" i="29"/>
  <c r="Z91" i="29"/>
  <c r="Y91" i="29"/>
  <c r="F91" i="29"/>
  <c r="F142" i="29" l="1"/>
  <c r="F144" i="29"/>
  <c r="F146" i="29"/>
  <c r="F148" i="29"/>
  <c r="F151" i="29"/>
  <c r="F154" i="29"/>
  <c r="F156" i="29"/>
  <c r="F158" i="29"/>
  <c r="F160" i="29"/>
  <c r="F162" i="29"/>
  <c r="Y142" i="29"/>
  <c r="Y144" i="29"/>
  <c r="Y146" i="29"/>
  <c r="Y148" i="29"/>
  <c r="Y151" i="29"/>
  <c r="Y154" i="29"/>
  <c r="Y156" i="29"/>
  <c r="Y158" i="29"/>
  <c r="Y160" i="29"/>
  <c r="Y162" i="29"/>
  <c r="Z142" i="29"/>
  <c r="Z144" i="29"/>
  <c r="Z146" i="29"/>
  <c r="Z148" i="29"/>
  <c r="Z151" i="29"/>
  <c r="Z154" i="29"/>
  <c r="Z156" i="29"/>
  <c r="Z158" i="29"/>
  <c r="Z160" i="29"/>
  <c r="Z162" i="29"/>
  <c r="X142" i="29"/>
  <c r="X144" i="29"/>
  <c r="X146" i="29"/>
  <c r="X148" i="29"/>
  <c r="X151" i="29"/>
  <c r="X154" i="29"/>
  <c r="X156" i="29"/>
  <c r="X158" i="29"/>
  <c r="X160" i="29"/>
  <c r="X162" i="29"/>
  <c r="W142" i="29"/>
  <c r="W144" i="29"/>
  <c r="W146" i="29"/>
  <c r="W148" i="29"/>
  <c r="W151" i="29"/>
  <c r="W154" i="29"/>
  <c r="W156" i="29"/>
  <c r="W158" i="29"/>
  <c r="W160" i="29"/>
  <c r="W162" i="29"/>
  <c r="F134" i="29"/>
  <c r="F137" i="29"/>
  <c r="F138" i="29"/>
  <c r="F139" i="29"/>
  <c r="F141" i="29"/>
  <c r="Y134" i="29"/>
  <c r="Y137" i="29"/>
  <c r="Y138" i="29"/>
  <c r="Y139" i="29"/>
  <c r="Y141" i="29"/>
  <c r="Z134" i="29"/>
  <c r="Z137" i="29"/>
  <c r="Z138" i="29"/>
  <c r="Z139" i="29"/>
  <c r="Z141" i="29"/>
  <c r="X134" i="29"/>
  <c r="X137" i="29"/>
  <c r="X138" i="29"/>
  <c r="X139" i="29"/>
  <c r="X141" i="29"/>
  <c r="W134" i="29"/>
  <c r="W137" i="29"/>
  <c r="W138" i="29"/>
  <c r="W139" i="29"/>
  <c r="W141" i="29"/>
  <c r="F57" i="29"/>
  <c r="F58" i="29"/>
  <c r="Y57" i="29"/>
  <c r="Y58" i="29"/>
  <c r="Z57" i="29"/>
  <c r="Z58" i="29"/>
  <c r="X57" i="29"/>
  <c r="X58" i="29"/>
  <c r="W57" i="29"/>
  <c r="W58" i="29"/>
  <c r="F47" i="29"/>
  <c r="F48" i="29"/>
  <c r="F50" i="29"/>
  <c r="F52" i="29"/>
  <c r="F54" i="29"/>
  <c r="F55" i="29"/>
  <c r="Y47" i="29"/>
  <c r="Y48" i="29"/>
  <c r="Y50" i="29"/>
  <c r="Y52" i="29"/>
  <c r="Y54" i="29"/>
  <c r="Y55" i="29"/>
  <c r="Z47" i="29"/>
  <c r="Z48" i="29"/>
  <c r="Z50" i="29"/>
  <c r="Z52" i="29"/>
  <c r="Z54" i="29"/>
  <c r="Z55" i="29"/>
  <c r="X47" i="29"/>
  <c r="X48" i="29"/>
  <c r="X50" i="29"/>
  <c r="X52" i="29"/>
  <c r="X54" i="29"/>
  <c r="X55" i="29"/>
  <c r="W47" i="29"/>
  <c r="W48" i="29"/>
  <c r="W50" i="29"/>
  <c r="W52" i="29"/>
  <c r="W54" i="29"/>
  <c r="W55" i="29"/>
  <c r="W59" i="28" l="1"/>
  <c r="X59" i="28"/>
  <c r="Z59" i="28"/>
  <c r="Y59" i="28"/>
  <c r="I59" i="28"/>
  <c r="F59" i="28"/>
  <c r="W61" i="28"/>
  <c r="X61" i="28"/>
  <c r="Z61" i="28"/>
  <c r="Y61" i="28"/>
  <c r="I61" i="28"/>
  <c r="F61" i="28"/>
  <c r="W70" i="28"/>
  <c r="X70" i="28"/>
  <c r="Z70" i="28"/>
  <c r="Y70" i="28"/>
  <c r="I70" i="28"/>
  <c r="F70" i="28"/>
  <c r="I69" i="28"/>
  <c r="Y69" i="28"/>
  <c r="W69" i="28"/>
  <c r="X69" i="28"/>
  <c r="Z69" i="28"/>
  <c r="F69" i="28"/>
  <c r="F125" i="29" l="1"/>
  <c r="Y125" i="29"/>
  <c r="Z125" i="29"/>
  <c r="X125" i="29"/>
  <c r="W125" i="29"/>
  <c r="W3" i="29"/>
  <c r="W16" i="29"/>
  <c r="W30" i="29"/>
  <c r="Y3" i="29"/>
  <c r="Y16" i="29"/>
  <c r="Y2" i="29"/>
  <c r="Z2" i="29"/>
  <c r="X2" i="29"/>
  <c r="W2" i="29"/>
  <c r="Z3" i="29"/>
  <c r="X3" i="29"/>
  <c r="F3" i="29"/>
  <c r="F37" i="29"/>
  <c r="F40" i="29"/>
  <c r="Y37" i="29"/>
  <c r="Y40" i="29"/>
  <c r="Z37" i="29"/>
  <c r="Z40" i="29"/>
  <c r="X37" i="29"/>
  <c r="X40" i="29"/>
  <c r="W37" i="29"/>
  <c r="W40" i="29"/>
  <c r="F42" i="29"/>
  <c r="Y42" i="29"/>
  <c r="Z42" i="29"/>
  <c r="X42" i="29"/>
  <c r="W42" i="29"/>
  <c r="F44" i="29"/>
  <c r="Y44" i="29"/>
  <c r="Z44" i="29"/>
  <c r="X44" i="29"/>
  <c r="W44" i="29"/>
  <c r="W84" i="29"/>
  <c r="X84" i="29"/>
  <c r="Z84" i="29"/>
  <c r="Y84" i="29"/>
  <c r="F84" i="29"/>
  <c r="F22" i="28"/>
  <c r="I22" i="28"/>
  <c r="Y22" i="28"/>
  <c r="Z22" i="28"/>
  <c r="X22" i="28"/>
  <c r="W22" i="28"/>
  <c r="Y15" i="28"/>
  <c r="Z15" i="28"/>
  <c r="X15" i="28"/>
  <c r="W15" i="28"/>
  <c r="F15" i="28"/>
  <c r="F17" i="28"/>
  <c r="F18" i="28"/>
  <c r="F21" i="28"/>
  <c r="F56" i="28"/>
  <c r="F57" i="28"/>
  <c r="F58" i="28"/>
  <c r="F68" i="28"/>
  <c r="F73" i="28"/>
  <c r="F74" i="28"/>
  <c r="F85" i="28"/>
  <c r="F93" i="28"/>
  <c r="F94" i="28"/>
  <c r="F96" i="28"/>
  <c r="F99" i="28"/>
  <c r="F105" i="28"/>
  <c r="F106" i="28"/>
  <c r="W18" i="28"/>
  <c r="W21" i="28"/>
  <c r="W56" i="28"/>
  <c r="W57" i="28"/>
  <c r="W58" i="28"/>
  <c r="W68" i="28"/>
  <c r="W73" i="28"/>
  <c r="W74" i="28"/>
  <c r="X18" i="28"/>
  <c r="X21" i="28"/>
  <c r="X56" i="28"/>
  <c r="X57" i="28"/>
  <c r="X58" i="28"/>
  <c r="X68" i="28"/>
  <c r="Z18" i="28"/>
  <c r="Z21" i="28"/>
  <c r="Z56" i="28"/>
  <c r="Z57" i="28"/>
  <c r="Z58" i="28"/>
  <c r="Z68" i="28"/>
  <c r="Z73" i="28"/>
  <c r="Y18" i="28"/>
  <c r="Y21" i="28"/>
  <c r="Y56" i="28"/>
  <c r="Y57" i="28"/>
  <c r="Y58" i="28"/>
  <c r="Y68" i="28"/>
  <c r="W17" i="28"/>
  <c r="W85" i="28"/>
  <c r="I58" i="28"/>
  <c r="I68" i="28"/>
  <c r="I73" i="28"/>
  <c r="I74" i="28"/>
  <c r="I85" i="28"/>
  <c r="I93" i="28"/>
  <c r="I94" i="28"/>
  <c r="I96" i="28"/>
  <c r="I99" i="28"/>
  <c r="I105" i="28"/>
  <c r="I106" i="28"/>
  <c r="I21" i="28"/>
  <c r="I56" i="28"/>
  <c r="I57" i="28"/>
  <c r="W173" i="29"/>
  <c r="X173" i="29"/>
  <c r="Z173" i="29"/>
  <c r="Y173" i="29"/>
  <c r="F173" i="29"/>
  <c r="W171" i="29"/>
  <c r="X171" i="29"/>
  <c r="Z171" i="29"/>
  <c r="Y171" i="29"/>
  <c r="F171" i="29"/>
  <c r="W169" i="29"/>
  <c r="X169" i="29"/>
  <c r="Z169" i="29"/>
  <c r="Y169" i="29"/>
  <c r="F169" i="29"/>
  <c r="W161" i="29"/>
  <c r="X161" i="29"/>
  <c r="Z161" i="29"/>
  <c r="Y161" i="29"/>
  <c r="F161" i="29"/>
  <c r="W159" i="29"/>
  <c r="X159" i="29"/>
  <c r="Z159" i="29"/>
  <c r="Y159" i="29"/>
  <c r="F159" i="29"/>
  <c r="W157" i="29"/>
  <c r="X157" i="29"/>
  <c r="Z157" i="29"/>
  <c r="Y157" i="29"/>
  <c r="F157" i="29"/>
  <c r="W155" i="29"/>
  <c r="X155" i="29"/>
  <c r="Z155" i="29"/>
  <c r="Y155" i="29"/>
  <c r="F155" i="29"/>
  <c r="W153" i="29"/>
  <c r="X153" i="29"/>
  <c r="Z153" i="29"/>
  <c r="Y153" i="29"/>
  <c r="F153" i="29"/>
  <c r="W152" i="29"/>
  <c r="X152" i="29"/>
  <c r="Z152" i="29"/>
  <c r="Y152" i="29"/>
  <c r="F152" i="29"/>
  <c r="W150" i="29"/>
  <c r="X150" i="29"/>
  <c r="Z150" i="29"/>
  <c r="Y150" i="29"/>
  <c r="F150" i="29"/>
  <c r="W149" i="29"/>
  <c r="X149" i="29"/>
  <c r="Z149" i="29"/>
  <c r="Y149" i="29"/>
  <c r="F149" i="29"/>
  <c r="W147" i="29"/>
  <c r="X147" i="29"/>
  <c r="Z147" i="29"/>
  <c r="Y147" i="29"/>
  <c r="F147" i="29"/>
  <c r="W145" i="29"/>
  <c r="X145" i="29"/>
  <c r="Z145" i="29"/>
  <c r="Y145" i="29"/>
  <c r="F145" i="29"/>
  <c r="W143" i="29"/>
  <c r="X143" i="29"/>
  <c r="Z143" i="29"/>
  <c r="Y143" i="29"/>
  <c r="F143" i="29"/>
  <c r="W140" i="29"/>
  <c r="X140" i="29"/>
  <c r="Z140" i="29"/>
  <c r="Y140" i="29"/>
  <c r="F140" i="29"/>
  <c r="W136" i="29"/>
  <c r="X136" i="29"/>
  <c r="Z136" i="29"/>
  <c r="Y136" i="29"/>
  <c r="F136" i="29"/>
  <c r="W135" i="29"/>
  <c r="X135" i="29"/>
  <c r="Z135" i="29"/>
  <c r="Y135" i="29"/>
  <c r="F135" i="29"/>
  <c r="W133" i="29"/>
  <c r="X133" i="29"/>
  <c r="Z133" i="29"/>
  <c r="Y133" i="29"/>
  <c r="F133" i="29"/>
  <c r="W132" i="29"/>
  <c r="X132" i="29"/>
  <c r="Z132" i="29"/>
  <c r="Y132" i="29"/>
  <c r="F132" i="29"/>
  <c r="W7" i="29"/>
  <c r="X7" i="29"/>
  <c r="Z7" i="29"/>
  <c r="Y7" i="29"/>
  <c r="F7" i="29"/>
  <c r="W6" i="29"/>
  <c r="X6" i="29"/>
  <c r="Z6" i="29"/>
  <c r="Y6" i="29"/>
  <c r="F6" i="29"/>
  <c r="W114" i="29"/>
  <c r="X114" i="29"/>
  <c r="Z114" i="29"/>
  <c r="Y114" i="29"/>
  <c r="F114" i="29"/>
  <c r="W110" i="29"/>
  <c r="X110" i="29"/>
  <c r="Z110" i="29"/>
  <c r="Y110" i="29"/>
  <c r="F110" i="29"/>
  <c r="W106" i="29"/>
  <c r="X106" i="29"/>
  <c r="Z106" i="29"/>
  <c r="Y106" i="29"/>
  <c r="F106" i="29"/>
  <c r="W93" i="29"/>
  <c r="X93" i="29"/>
  <c r="Z93" i="29"/>
  <c r="Y93" i="29"/>
  <c r="F93" i="29"/>
  <c r="W92" i="29"/>
  <c r="X92" i="29"/>
  <c r="Z92" i="29"/>
  <c r="Y92" i="29"/>
  <c r="F92" i="29"/>
  <c r="W88" i="29"/>
  <c r="X88" i="29"/>
  <c r="Z88" i="29"/>
  <c r="Y88" i="29"/>
  <c r="F88" i="29"/>
  <c r="W83" i="29"/>
  <c r="X83" i="29"/>
  <c r="Z83" i="29"/>
  <c r="Y83" i="29"/>
  <c r="F83" i="29"/>
  <c r="W82" i="29"/>
  <c r="X82" i="29"/>
  <c r="Z82" i="29"/>
  <c r="Y82" i="29"/>
  <c r="F82" i="29"/>
  <c r="W81" i="29"/>
  <c r="X81" i="29"/>
  <c r="Z81" i="29"/>
  <c r="Y81" i="29"/>
  <c r="F81" i="29"/>
  <c r="W80" i="29"/>
  <c r="X80" i="29"/>
  <c r="Z80" i="29"/>
  <c r="Y80" i="29"/>
  <c r="F80" i="29"/>
  <c r="W79" i="29"/>
  <c r="X79" i="29"/>
  <c r="Z79" i="29"/>
  <c r="Y79" i="29"/>
  <c r="F79" i="29"/>
  <c r="W78" i="29"/>
  <c r="X78" i="29"/>
  <c r="Z78" i="29"/>
  <c r="Y78" i="29"/>
  <c r="F78" i="29"/>
  <c r="W77" i="29"/>
  <c r="X77" i="29"/>
  <c r="Z77" i="29"/>
  <c r="Y77" i="29"/>
  <c r="F77" i="29"/>
  <c r="W76" i="29"/>
  <c r="X76" i="29"/>
  <c r="Z76" i="29"/>
  <c r="Y76" i="29"/>
  <c r="F76" i="29"/>
  <c r="W75" i="29"/>
  <c r="X75" i="29"/>
  <c r="Z75" i="29"/>
  <c r="Y75" i="29"/>
  <c r="F75" i="29"/>
  <c r="W74" i="29"/>
  <c r="X74" i="29"/>
  <c r="Z74" i="29"/>
  <c r="Y74" i="29"/>
  <c r="F74" i="29"/>
  <c r="W69" i="29"/>
  <c r="X69" i="29"/>
  <c r="Z69" i="29"/>
  <c r="Y69" i="29"/>
  <c r="F69" i="29"/>
  <c r="W66" i="29"/>
  <c r="X66" i="29"/>
  <c r="Z66" i="29"/>
  <c r="Y66" i="29"/>
  <c r="F66" i="29"/>
  <c r="W62" i="29"/>
  <c r="X62" i="29"/>
  <c r="Z62" i="29"/>
  <c r="Y62" i="29"/>
  <c r="F62" i="29"/>
  <c r="W56" i="29"/>
  <c r="X56" i="29"/>
  <c r="Z56" i="29"/>
  <c r="Y56" i="29"/>
  <c r="F56" i="29"/>
  <c r="W53" i="29"/>
  <c r="X53" i="29"/>
  <c r="Z53" i="29"/>
  <c r="Y53" i="29"/>
  <c r="F53" i="29"/>
  <c r="W51" i="29"/>
  <c r="X51" i="29"/>
  <c r="Z51" i="29"/>
  <c r="Y51" i="29"/>
  <c r="F51" i="29"/>
  <c r="W49" i="29"/>
  <c r="X49" i="29"/>
  <c r="Z49" i="29"/>
  <c r="Y49" i="29"/>
  <c r="F49" i="29"/>
  <c r="X30" i="29"/>
  <c r="Z30" i="29"/>
  <c r="Y30" i="29"/>
  <c r="F30" i="29"/>
  <c r="X16" i="29"/>
  <c r="Z16" i="29"/>
  <c r="F16" i="29"/>
  <c r="F2" i="29"/>
  <c r="W106" i="28"/>
  <c r="X106" i="28"/>
  <c r="Z106" i="28"/>
  <c r="Y106" i="28"/>
  <c r="W105" i="28"/>
  <c r="X105" i="28"/>
  <c r="Z105" i="28"/>
  <c r="Y105" i="28"/>
  <c r="W99" i="28"/>
  <c r="X99" i="28"/>
  <c r="Z99" i="28"/>
  <c r="Y99" i="28"/>
  <c r="W96" i="28"/>
  <c r="X96" i="28"/>
  <c r="Z96" i="28"/>
  <c r="Y96" i="28"/>
  <c r="W94" i="28"/>
  <c r="X94" i="28"/>
  <c r="Z94" i="28"/>
  <c r="Y94" i="28"/>
  <c r="W93" i="28"/>
  <c r="X93" i="28"/>
  <c r="Z93" i="28"/>
  <c r="Y93" i="28"/>
  <c r="X85" i="28"/>
  <c r="Z85" i="28"/>
  <c r="Y85" i="28"/>
  <c r="X74" i="28"/>
  <c r="Z74" i="28"/>
  <c r="Y74" i="28"/>
  <c r="X73" i="28"/>
  <c r="Y73" i="28"/>
  <c r="X17" i="28"/>
  <c r="Z17" i="28"/>
  <c r="Y17" i="28"/>
  <c r="W14" i="28"/>
  <c r="X14" i="28"/>
  <c r="Z14" i="28"/>
  <c r="Y14" i="28"/>
  <c r="F14" i="28"/>
  <c r="V37" i="26"/>
  <c r="V38" i="26"/>
  <c r="V50" i="26"/>
  <c r="V52" i="26"/>
  <c r="V53" i="26"/>
  <c r="V54" i="26"/>
  <c r="V58" i="26"/>
  <c r="V59" i="26"/>
  <c r="V60" i="26"/>
  <c r="V61" i="26"/>
  <c r="V63" i="26"/>
  <c r="V66" i="26"/>
  <c r="V67" i="26"/>
  <c r="V69" i="26"/>
  <c r="V70" i="26"/>
  <c r="V75" i="26"/>
  <c r="V76" i="26"/>
  <c r="V78" i="26"/>
  <c r="V79" i="26"/>
  <c r="V80" i="26"/>
  <c r="V103" i="26"/>
  <c r="V107" i="26"/>
  <c r="V110" i="26"/>
  <c r="V112" i="26"/>
  <c r="V118" i="26"/>
  <c r="V117" i="26"/>
  <c r="V122" i="26"/>
  <c r="V123" i="26"/>
  <c r="V128" i="26"/>
  <c r="V133" i="26"/>
  <c r="Z2" i="26"/>
  <c r="Z70" i="26"/>
  <c r="Z112" i="26"/>
  <c r="Z93" i="26"/>
  <c r="Z9" i="26"/>
  <c r="Z26" i="26"/>
  <c r="Z8" i="26"/>
  <c r="Z34" i="26"/>
  <c r="Z58" i="26"/>
  <c r="Z74" i="26"/>
  <c r="Z95" i="26"/>
  <c r="Z117" i="26"/>
  <c r="Z25" i="26"/>
  <c r="Z68" i="26"/>
  <c r="Z103" i="26"/>
  <c r="Z33" i="26"/>
  <c r="Z73" i="26"/>
  <c r="Z111" i="26"/>
  <c r="Z15" i="26"/>
  <c r="Z39" i="26"/>
  <c r="Z63" i="26"/>
  <c r="Z79" i="26"/>
  <c r="Z102" i="26"/>
  <c r="Z128" i="26"/>
  <c r="Z30" i="26"/>
  <c r="Z72" i="26"/>
  <c r="Z119" i="26"/>
  <c r="Z37" i="26"/>
  <c r="Z81" i="26"/>
  <c r="Z131" i="26"/>
  <c r="Z54" i="26"/>
  <c r="Z10" i="26"/>
  <c r="Z13" i="26"/>
  <c r="Z104" i="26"/>
  <c r="Z35" i="26"/>
  <c r="Z59" i="26"/>
  <c r="Z75" i="26"/>
  <c r="Z118" i="26"/>
  <c r="Z20" i="26"/>
  <c r="Z64" i="26"/>
  <c r="Z110" i="26"/>
  <c r="Z116" i="26"/>
  <c r="Z14" i="26"/>
  <c r="Z62" i="26"/>
  <c r="Z78" i="26"/>
  <c r="Z101" i="26"/>
  <c r="Z123" i="26"/>
  <c r="Z36" i="26"/>
  <c r="Z76" i="26"/>
  <c r="Z115" i="26"/>
  <c r="Z49" i="26"/>
  <c r="Z77" i="26"/>
  <c r="Z122" i="26"/>
  <c r="Z23" i="26"/>
  <c r="Z51" i="26"/>
  <c r="Z67" i="26"/>
  <c r="Z85" i="26"/>
  <c r="Z107" i="26"/>
  <c r="Z138" i="26"/>
  <c r="Z41" i="26"/>
  <c r="Z80" i="26"/>
  <c r="Z5" i="26"/>
  <c r="Z53" i="26"/>
  <c r="Z88" i="26"/>
  <c r="Z27" i="26"/>
  <c r="Z89" i="26"/>
  <c r="Z60" i="26"/>
  <c r="Z65" i="26"/>
  <c r="Z96" i="26"/>
  <c r="Z69" i="26"/>
  <c r="Z38" i="26"/>
  <c r="Z22" i="26"/>
  <c r="Z50" i="26"/>
  <c r="Z66" i="26"/>
  <c r="Z82" i="26"/>
  <c r="Z105" i="26"/>
  <c r="Z133" i="26"/>
  <c r="Z56" i="26"/>
  <c r="Z87" i="26"/>
  <c r="Z129" i="26"/>
  <c r="Z57" i="26"/>
  <c r="Z94" i="26"/>
  <c r="Z3" i="26"/>
  <c r="Z28" i="26"/>
  <c r="Z55" i="26"/>
  <c r="Z71" i="26"/>
  <c r="Z92" i="26"/>
  <c r="Z113" i="26"/>
  <c r="Z4" i="26"/>
  <c r="Z52" i="26"/>
  <c r="Z97" i="26"/>
  <c r="Z21" i="26"/>
  <c r="Z61" i="26"/>
  <c r="Z100" i="26"/>
  <c r="AA3" i="28"/>
  <c r="T173" i="29"/>
  <c r="AA173" i="29" s="1"/>
  <c r="T169" i="29"/>
  <c r="AA169" i="29" s="1"/>
  <c r="T159" i="29"/>
  <c r="AA159" i="29" s="1"/>
  <c r="T155" i="29"/>
  <c r="AA155" i="29" s="1"/>
  <c r="T151" i="29"/>
  <c r="AA151" i="29" s="1"/>
  <c r="T147" i="29"/>
  <c r="AA147" i="29" s="1"/>
  <c r="T171" i="29"/>
  <c r="AA171" i="29" s="1"/>
  <c r="T161" i="29"/>
  <c r="AA161" i="29" s="1"/>
  <c r="T157" i="29"/>
  <c r="AA157" i="29" s="1"/>
  <c r="T153" i="29"/>
  <c r="AA153" i="29" s="1"/>
  <c r="T149" i="29"/>
  <c r="AA149" i="29" s="1"/>
  <c r="T145" i="29"/>
  <c r="AA145" i="29" s="1"/>
  <c r="T141" i="29"/>
  <c r="AA141" i="29" s="1"/>
  <c r="T137" i="29"/>
  <c r="AA137" i="29" s="1"/>
  <c r="T133" i="29"/>
  <c r="AA133" i="29" s="1"/>
  <c r="T126" i="29"/>
  <c r="AA126" i="29" s="1"/>
  <c r="T116" i="29"/>
  <c r="AA116" i="29" s="1"/>
  <c r="T112" i="29"/>
  <c r="AA112" i="29" s="1"/>
  <c r="T108" i="29"/>
  <c r="AA108" i="29" s="1"/>
  <c r="T102" i="29"/>
  <c r="AA102" i="29" s="1"/>
  <c r="T98" i="29"/>
  <c r="AA98" i="29" s="1"/>
  <c r="T93" i="29"/>
  <c r="AA93" i="29" s="1"/>
  <c r="T88" i="29"/>
  <c r="AA88" i="29" s="1"/>
  <c r="T82" i="29"/>
  <c r="AA82" i="29" s="1"/>
  <c r="T78" i="29"/>
  <c r="AA78" i="29" s="1"/>
  <c r="T74" i="29"/>
  <c r="AA74" i="29" s="1"/>
  <c r="T66" i="29"/>
  <c r="AA66" i="29" s="1"/>
  <c r="T59" i="29"/>
  <c r="AA59" i="29" s="1"/>
  <c r="T55" i="29"/>
  <c r="AA55" i="29" s="1"/>
  <c r="T51" i="29"/>
  <c r="AA51" i="29" s="1"/>
  <c r="T47" i="29"/>
  <c r="AA47" i="29" s="1"/>
  <c r="T41" i="29"/>
  <c r="AA41" i="29" s="1"/>
  <c r="T33" i="29"/>
  <c r="AA33" i="29" s="1"/>
  <c r="T18" i="29"/>
  <c r="AA18" i="29" s="1"/>
  <c r="T7" i="29"/>
  <c r="AA7" i="29" s="1"/>
  <c r="T3" i="29"/>
  <c r="AA3" i="29" s="1"/>
  <c r="T143" i="29"/>
  <c r="AA143" i="29" s="1"/>
  <c r="T139" i="29"/>
  <c r="AA139" i="29" s="1"/>
  <c r="T135" i="29"/>
  <c r="AA135" i="29" s="1"/>
  <c r="T128" i="29"/>
  <c r="AA128" i="29" s="1"/>
  <c r="T122" i="29"/>
  <c r="AA122" i="29" s="1"/>
  <c r="T114" i="29"/>
  <c r="AA114" i="29" s="1"/>
  <c r="T110" i="29"/>
  <c r="AA110" i="29" s="1"/>
  <c r="T106" i="29"/>
  <c r="AA106" i="29" s="1"/>
  <c r="T100" i="29"/>
  <c r="AA100" i="29" s="1"/>
  <c r="T95" i="29"/>
  <c r="AA95" i="29" s="1"/>
  <c r="T91" i="29"/>
  <c r="AA91" i="29" s="1"/>
  <c r="T84" i="29"/>
  <c r="AA84" i="29" s="1"/>
  <c r="T80" i="29"/>
  <c r="AA80" i="29" s="1"/>
  <c r="T76" i="29"/>
  <c r="AA76" i="29" s="1"/>
  <c r="T69" i="29"/>
  <c r="AA69" i="29" s="1"/>
  <c r="T63" i="29"/>
  <c r="AA63" i="29" s="1"/>
  <c r="T57" i="29"/>
  <c r="AA57" i="29" s="1"/>
  <c r="T53" i="29"/>
  <c r="AA53" i="29" s="1"/>
  <c r="T49" i="29"/>
  <c r="AA49" i="29" s="1"/>
  <c r="T44" i="29"/>
  <c r="AA44" i="29" s="1"/>
  <c r="T38" i="29"/>
  <c r="AA38" i="29" s="1"/>
  <c r="T29" i="29"/>
  <c r="AA29" i="29" s="1"/>
  <c r="T16" i="29"/>
  <c r="AA16" i="29" s="1"/>
  <c r="T5" i="29"/>
  <c r="AA5" i="29" s="1"/>
  <c r="T175" i="29"/>
  <c r="AA175" i="29" s="1"/>
  <c r="T172" i="29"/>
  <c r="AA172" i="29" s="1"/>
  <c r="T170" i="29"/>
  <c r="AA170" i="29" s="1"/>
  <c r="T162" i="29"/>
  <c r="AA162" i="29" s="1"/>
  <c r="T160" i="29"/>
  <c r="AA160" i="29" s="1"/>
  <c r="T158" i="29"/>
  <c r="AA158" i="29" s="1"/>
  <c r="T156" i="29"/>
  <c r="AA156" i="29" s="1"/>
  <c r="T154" i="29"/>
  <c r="AA154" i="29" s="1"/>
  <c r="T152" i="29"/>
  <c r="AA152" i="29" s="1"/>
  <c r="T150" i="29"/>
  <c r="AA150" i="29" s="1"/>
  <c r="T148" i="29"/>
  <c r="AA148" i="29" s="1"/>
  <c r="T146" i="29"/>
  <c r="AA146" i="29" s="1"/>
  <c r="T144" i="29"/>
  <c r="AA144" i="29" s="1"/>
  <c r="T142" i="29"/>
  <c r="AA142" i="29" s="1"/>
  <c r="T140" i="29"/>
  <c r="AA140" i="29" s="1"/>
  <c r="T138" i="29"/>
  <c r="AA138" i="29" s="1"/>
  <c r="T136" i="29"/>
  <c r="AA136" i="29" s="1"/>
  <c r="T134" i="29"/>
  <c r="AA134" i="29" s="1"/>
  <c r="T132" i="29"/>
  <c r="AA132" i="29" s="1"/>
  <c r="T127" i="29"/>
  <c r="AA127" i="29" s="1"/>
  <c r="T125" i="29"/>
  <c r="AA125" i="29" s="1"/>
  <c r="T118" i="29"/>
  <c r="AA118" i="29" s="1"/>
  <c r="T115" i="29"/>
  <c r="AA115" i="29" s="1"/>
  <c r="T113" i="29"/>
  <c r="AA113" i="29" s="1"/>
  <c r="T111" i="29"/>
  <c r="AA111" i="29" s="1"/>
  <c r="T109" i="29"/>
  <c r="AA109" i="29" s="1"/>
  <c r="T107" i="29"/>
  <c r="AA107" i="29" s="1"/>
  <c r="T103" i="29"/>
  <c r="AA103" i="29" s="1"/>
  <c r="T101" i="29"/>
  <c r="AA101" i="29" s="1"/>
  <c r="T99" i="29"/>
  <c r="AA99" i="29" s="1"/>
  <c r="T96" i="29"/>
  <c r="AA96" i="29" s="1"/>
  <c r="T94" i="29"/>
  <c r="AA94" i="29" s="1"/>
  <c r="T92" i="29"/>
  <c r="AA92" i="29" s="1"/>
  <c r="T89" i="29"/>
  <c r="AA89" i="29" s="1"/>
  <c r="T85" i="29"/>
  <c r="AA85" i="29" s="1"/>
  <c r="T83" i="29"/>
  <c r="AA83" i="29" s="1"/>
  <c r="T81" i="29"/>
  <c r="AA81" i="29" s="1"/>
  <c r="T79" i="29"/>
  <c r="AA79" i="29" s="1"/>
  <c r="T77" i="29"/>
  <c r="AA77" i="29" s="1"/>
  <c r="T75" i="29"/>
  <c r="AA75" i="29" s="1"/>
  <c r="T70" i="29"/>
  <c r="AA70" i="29" s="1"/>
  <c r="T67" i="29"/>
  <c r="AA67" i="29" s="1"/>
  <c r="T64" i="29"/>
  <c r="AA64" i="29" s="1"/>
  <c r="T62" i="29"/>
  <c r="AA62" i="29" s="1"/>
  <c r="T58" i="29"/>
  <c r="AA58" i="29" s="1"/>
  <c r="T56" i="29"/>
  <c r="AA56" i="29" s="1"/>
  <c r="T54" i="29"/>
  <c r="AA54" i="29" s="1"/>
  <c r="T52" i="29"/>
  <c r="AA52" i="29" s="1"/>
  <c r="T50" i="29"/>
  <c r="AA50" i="29" s="1"/>
  <c r="T48" i="29"/>
  <c r="AA48" i="29" s="1"/>
  <c r="T45" i="29"/>
  <c r="AA45" i="29" s="1"/>
  <c r="T42" i="29"/>
  <c r="AA42" i="29" s="1"/>
  <c r="T40" i="29"/>
  <c r="AA40" i="29" s="1"/>
  <c r="T37" i="29"/>
  <c r="AA37" i="29" s="1"/>
  <c r="T30" i="29"/>
  <c r="AA30" i="29" s="1"/>
  <c r="T19" i="29"/>
  <c r="AA19" i="29" s="1"/>
  <c r="T17" i="29"/>
  <c r="AA17" i="29" s="1"/>
  <c r="T8" i="29"/>
  <c r="AA8" i="29" s="1"/>
  <c r="T6" i="29"/>
  <c r="AA6" i="29" s="1"/>
  <c r="T4" i="29"/>
  <c r="AA4" i="29" s="1"/>
  <c r="T2" i="29"/>
  <c r="AA2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<sst xmlns="http://schemas.openxmlformats.org/spreadsheetml/2006/main" count="2967" uniqueCount="216">
  <si>
    <t>القاهرة 500</t>
  </si>
  <si>
    <t>H2</t>
  </si>
  <si>
    <t>O2</t>
  </si>
  <si>
    <t>N2</t>
  </si>
  <si>
    <t>CO2</t>
  </si>
  <si>
    <t>C2H4</t>
  </si>
  <si>
    <t>C2H6</t>
  </si>
  <si>
    <t>C2H2</t>
  </si>
  <si>
    <t>CH4</t>
  </si>
  <si>
    <t>CO</t>
  </si>
  <si>
    <t>-</t>
  </si>
  <si>
    <t>T1</t>
  </si>
  <si>
    <t>R</t>
  </si>
  <si>
    <t>T3</t>
  </si>
  <si>
    <t>بني سويف شرق</t>
  </si>
  <si>
    <t>1T</t>
  </si>
  <si>
    <t>220 / 66</t>
  </si>
  <si>
    <t>R&amp;F</t>
  </si>
  <si>
    <t>6T</t>
  </si>
  <si>
    <t>66 / 22</t>
  </si>
  <si>
    <t>8T</t>
  </si>
  <si>
    <t>N</t>
  </si>
  <si>
    <t>S</t>
  </si>
  <si>
    <t>دمو</t>
  </si>
  <si>
    <t>2T</t>
  </si>
  <si>
    <t>T2</t>
  </si>
  <si>
    <t>دير سمالوط</t>
  </si>
  <si>
    <t>66 / 11</t>
  </si>
  <si>
    <t>500 / 220</t>
  </si>
  <si>
    <t>5T</t>
  </si>
  <si>
    <t>T8</t>
  </si>
  <si>
    <t>T10</t>
  </si>
  <si>
    <t>T13</t>
  </si>
  <si>
    <t>R 1 B</t>
  </si>
  <si>
    <t>R 2 B</t>
  </si>
  <si>
    <t>R 1 C</t>
  </si>
  <si>
    <t>R 2 C</t>
  </si>
  <si>
    <t>غرب الفيوم</t>
  </si>
  <si>
    <t>3T</t>
  </si>
  <si>
    <t>4T</t>
  </si>
  <si>
    <t>FAL</t>
  </si>
  <si>
    <t>غرب ملوي</t>
  </si>
  <si>
    <t>7T</t>
  </si>
  <si>
    <t>مطاي</t>
  </si>
  <si>
    <t>المحطة</t>
  </si>
  <si>
    <t>المحول</t>
  </si>
  <si>
    <t>تاريخ العينة</t>
  </si>
  <si>
    <t>سمالوط 500</t>
  </si>
  <si>
    <t>1T PH C</t>
  </si>
  <si>
    <t>2T PH C</t>
  </si>
  <si>
    <t>1T PH a</t>
  </si>
  <si>
    <t>500 / 132</t>
  </si>
  <si>
    <t>اسمنت أ</t>
  </si>
  <si>
    <t>132/ 6.3</t>
  </si>
  <si>
    <t>بني سويف غرب</t>
  </si>
  <si>
    <t>2t</t>
  </si>
  <si>
    <t>132 / 66</t>
  </si>
  <si>
    <t>يحتاج الى إعادة</t>
  </si>
  <si>
    <t>الغنايم</t>
  </si>
  <si>
    <t>أسيوط 500</t>
  </si>
  <si>
    <t>R.R</t>
  </si>
  <si>
    <t>R.T</t>
  </si>
  <si>
    <t>R.S</t>
  </si>
  <si>
    <t>66/11</t>
  </si>
  <si>
    <t>وادي الشيح</t>
  </si>
  <si>
    <t>مغاغة 132</t>
  </si>
  <si>
    <t>132 / 33</t>
  </si>
  <si>
    <t>1t</t>
  </si>
  <si>
    <t>s</t>
  </si>
  <si>
    <t>ريفا</t>
  </si>
  <si>
    <t>A</t>
  </si>
  <si>
    <t>أسيوط الجديدة</t>
  </si>
  <si>
    <t>F&amp;R</t>
  </si>
  <si>
    <t>T123</t>
  </si>
  <si>
    <t>أسيوط شرق</t>
  </si>
  <si>
    <t>T03</t>
  </si>
  <si>
    <t>T02</t>
  </si>
  <si>
    <t>500 /220</t>
  </si>
  <si>
    <t>أبو طرطور</t>
  </si>
  <si>
    <t>ملوي 132</t>
  </si>
  <si>
    <t>5t</t>
  </si>
  <si>
    <t>33 /11</t>
  </si>
  <si>
    <t>O2/N2</t>
  </si>
  <si>
    <t xml:space="preserve"> حتى اليوم</t>
  </si>
  <si>
    <t>الجهد</t>
  </si>
  <si>
    <t>C2H4/
C2H6</t>
  </si>
  <si>
    <t>CH4
/H2</t>
  </si>
  <si>
    <t>C2H2/
C2H4</t>
  </si>
  <si>
    <t>CO2 /
 CO</t>
  </si>
  <si>
    <t>الحالة</t>
  </si>
  <si>
    <t>S3</t>
  </si>
  <si>
    <t>I&amp;R</t>
  </si>
  <si>
    <t>اسمنت رمادي</t>
  </si>
  <si>
    <t>تم</t>
  </si>
  <si>
    <t>بني غالب</t>
  </si>
  <si>
    <t>أسيوط 2</t>
  </si>
  <si>
    <t>S2</t>
  </si>
  <si>
    <t>DT</t>
  </si>
  <si>
    <t>s3</t>
  </si>
  <si>
    <t>R&amp;I</t>
  </si>
  <si>
    <t>R PH R</t>
  </si>
  <si>
    <t xml:space="preserve">R PH S </t>
  </si>
  <si>
    <t>الكوم الأحمر</t>
  </si>
  <si>
    <t>4t</t>
  </si>
  <si>
    <t>اهناسيا</t>
  </si>
  <si>
    <t>الفشن</t>
  </si>
  <si>
    <t>ببا</t>
  </si>
  <si>
    <t>غرب مغاغة</t>
  </si>
  <si>
    <t>500/220</t>
  </si>
  <si>
    <t>8T L1</t>
  </si>
  <si>
    <t>18/10/2023</t>
  </si>
  <si>
    <t>8T L2</t>
  </si>
  <si>
    <t>8T L3</t>
  </si>
  <si>
    <t>S1</t>
  </si>
  <si>
    <t>8/10/2023</t>
  </si>
  <si>
    <t>31/10/2023</t>
  </si>
  <si>
    <t>1T  PH A</t>
  </si>
  <si>
    <t>1T  PH B</t>
  </si>
  <si>
    <t>Result of analysis</t>
  </si>
  <si>
    <t>DGA</t>
  </si>
  <si>
    <t>C.Recommended</t>
  </si>
  <si>
    <t>R 2 A</t>
  </si>
  <si>
    <t>أبو قرقاص 66</t>
  </si>
  <si>
    <t>R 3 B</t>
  </si>
  <si>
    <t>ألجامعة بالمنيا</t>
  </si>
  <si>
    <t>D2</t>
  </si>
  <si>
    <t>بني خالد</t>
  </si>
  <si>
    <t xml:space="preserve"> 11/66</t>
  </si>
  <si>
    <t>D1</t>
  </si>
  <si>
    <t>R2 PH S</t>
  </si>
  <si>
    <t xml:space="preserve">R PH T </t>
  </si>
  <si>
    <t>بني سويف الصناعية</t>
  </si>
  <si>
    <t>2T PH S</t>
  </si>
  <si>
    <t>اسمنت جنوب الوادي</t>
  </si>
  <si>
    <t>اسمنت بني سويف</t>
  </si>
  <si>
    <t>1T PH R</t>
  </si>
  <si>
    <t>1T PH S</t>
  </si>
  <si>
    <t>R &amp; I</t>
  </si>
  <si>
    <t>9T L3</t>
  </si>
  <si>
    <t>9T L2</t>
  </si>
  <si>
    <t>9T L1</t>
  </si>
  <si>
    <t>الباويطي</t>
  </si>
  <si>
    <t>33 / 11</t>
  </si>
  <si>
    <t>الواحات</t>
  </si>
  <si>
    <t>2T PH R</t>
  </si>
  <si>
    <t>2T PH T</t>
  </si>
  <si>
    <t>بير عريضة</t>
  </si>
  <si>
    <t>R 3 A</t>
  </si>
  <si>
    <t>R 3 C</t>
  </si>
  <si>
    <t>كوم اوشيم</t>
  </si>
  <si>
    <t>R6</t>
  </si>
  <si>
    <t>R1</t>
  </si>
  <si>
    <t>سنورس</t>
  </si>
  <si>
    <t>R3</t>
  </si>
  <si>
    <t>1T PH B</t>
  </si>
  <si>
    <t>الواسطى</t>
  </si>
  <si>
    <t xml:space="preserve">&lt; 0.2 </t>
  </si>
  <si>
    <t>&gt; = 0.2</t>
  </si>
  <si>
    <t>Normal Range</t>
  </si>
  <si>
    <t>R&amp;I1</t>
  </si>
  <si>
    <t>تم تغيير المحول</t>
  </si>
  <si>
    <t>غرب المنيا</t>
  </si>
  <si>
    <t>أبو تيج</t>
  </si>
  <si>
    <t>أسيوط 1</t>
  </si>
  <si>
    <t>I</t>
  </si>
  <si>
    <t>I&amp;R1</t>
  </si>
  <si>
    <t>PD</t>
  </si>
  <si>
    <t>اسمنت المنيا</t>
  </si>
  <si>
    <t>132 / 6.3</t>
  </si>
  <si>
    <t>132 / 11</t>
  </si>
  <si>
    <t>ألمنيا 132</t>
  </si>
  <si>
    <t>I&amp;R6</t>
  </si>
  <si>
    <t>I&amp;R3</t>
  </si>
  <si>
    <t>R&amp;I3</t>
  </si>
  <si>
    <t>Result of 
analysis</t>
  </si>
  <si>
    <t>عمود3</t>
  </si>
  <si>
    <t>تاريخ إعادة التحليل</t>
  </si>
  <si>
    <t>عمود1</t>
  </si>
  <si>
    <t>عمود2</t>
  </si>
  <si>
    <t>تاريخ إعادة التحاليل</t>
  </si>
  <si>
    <t>عمود22</t>
  </si>
  <si>
    <t>قشيشة</t>
  </si>
  <si>
    <t>القناة للسكر</t>
  </si>
  <si>
    <t>220 / 33</t>
  </si>
  <si>
    <t>دير مواس</t>
  </si>
  <si>
    <t xml:space="preserve">11  m 3  D </t>
  </si>
  <si>
    <t xml:space="preserve">7  m 28  D </t>
  </si>
  <si>
    <t>الجامعة</t>
  </si>
  <si>
    <t>الخارجة</t>
  </si>
  <si>
    <t>الشواشنة</t>
  </si>
  <si>
    <t>س2</t>
  </si>
  <si>
    <t>القوصية</t>
  </si>
  <si>
    <t>منفوط</t>
  </si>
  <si>
    <t>ألبطس</t>
  </si>
  <si>
    <t>أبوكساه</t>
  </si>
  <si>
    <t>طامية</t>
  </si>
  <si>
    <t>مغاغة شرق</t>
  </si>
  <si>
    <t>كيمان فارس الجديدة</t>
  </si>
  <si>
    <t>قحافة</t>
  </si>
  <si>
    <t>T121 PH S</t>
  </si>
  <si>
    <t>T121 PH R</t>
  </si>
  <si>
    <t>T122 PH R</t>
  </si>
  <si>
    <t>T122 PH S</t>
  </si>
  <si>
    <t>T122 PH T</t>
  </si>
  <si>
    <t>T121 PH T</t>
  </si>
  <si>
    <t>ديروط</t>
  </si>
  <si>
    <t>R2 PH R</t>
  </si>
  <si>
    <t>T121 R</t>
  </si>
  <si>
    <t>T121 S</t>
  </si>
  <si>
    <t xml:space="preserve">66 /11 </t>
  </si>
  <si>
    <t>سمسطا</t>
  </si>
  <si>
    <t>اسمنت العريش</t>
  </si>
  <si>
    <t>220 / 11</t>
  </si>
  <si>
    <t>4T HENDY</t>
  </si>
  <si>
    <t>تاريخ التحليل</t>
  </si>
  <si>
    <t>بلاط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</si>
</sst>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yyyy/mm/dd"/>
    <numFmt numFmtId="166" formatCode="[$-F800]dddd\,\ mmmm\ dd\,\ yyyy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1"/>
      <name val="Sakkal Majalla"/>
    </font>
    <font>
      <sz val="8"/>
      <name val="Arial"/>
      <family val="2"/>
      <scheme val="minor"/>
    </font>
    <font>
      <b/>
      <sz val="16"/>
      <color theme="1"/>
      <name val="Sakkal Majalla"/>
    </font>
    <font>
      <b/>
      <sz val="14"/>
      <color theme="1"/>
      <name val="Sakkal Majalla"/>
    </font>
    <font>
      <b/>
      <sz val="14"/>
      <color theme="1"/>
      <name val="Sakkal Majalla"/>
    </font>
    <font>
      <sz val="14"/>
      <color theme="1"/>
      <name val="Sakkal Majalla"/>
    </font>
    <font>
      <b/>
      <sz val="16"/>
      <color theme="0"/>
      <name val="Sakkal Majalla"/>
    </font>
    <font>
      <b/>
      <sz val="16"/>
      <color rgb="FFFF0000"/>
      <name val="Sakkal Majalla"/>
    </font>
    <font>
      <b/>
      <sz val="16"/>
      <name val="Sakkal Majalla"/>
    </font>
    <font>
      <b/>
      <sz val="18"/>
      <color rgb="FF000000"/>
      <name val="Sakkal Majalla"/>
    </font>
    <font>
      <sz val="14"/>
      <color theme="1"/>
      <name val="Arial"/>
      <family val="2"/>
      <scheme val="minor"/>
    </font>
    <font>
      <b/>
      <sz val="14"/>
      <color theme="0"/>
      <name val="Sakkal Majalla"/>
    </font>
    <font>
      <b/>
      <sz val="14"/>
      <color rgb="FFFF0000"/>
      <name val="Sakkal Majalla"/>
    </font>
    <font>
      <b/>
      <sz val="14"/>
      <color rgb="FF000000"/>
      <name val="Sakkal Majalla"/>
    </font>
    <font>
      <sz val="11"/>
      <color theme="1"/>
      <name val="Arial"/>
      <family val="2"/>
      <scheme val="minor"/>
    </font>
    <font>
      <b/>
      <sz val="12"/>
      <color theme="1"/>
      <name val="Sakkal Majalla"/>
    </font>
    <font>
      <b/>
      <sz val="11"/>
      <color theme="1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7" fillId="0" borderId="0" xfId="1" applyFont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2" fontId="5" fillId="6" borderId="0" xfId="1" applyNumberFormat="1" applyFont="1" applyFill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 readingOrder="2"/>
    </xf>
    <xf numFmtId="165" fontId="5" fillId="0" borderId="0" xfId="1" applyNumberFormat="1" applyFont="1" applyAlignment="1">
      <alignment horizontal="center" vertical="center" wrapText="1" readingOrder="2"/>
    </xf>
    <xf numFmtId="0" fontId="4" fillId="0" borderId="0" xfId="1" applyFont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165" fontId="5" fillId="0" borderId="0" xfId="1" applyNumberFormat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 readingOrder="1"/>
    </xf>
    <xf numFmtId="0" fontId="6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10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 wrapText="1"/>
    </xf>
    <xf numFmtId="2" fontId="5" fillId="0" borderId="0" xfId="1" applyNumberFormat="1" applyFont="1" applyAlignment="1">
      <alignment horizontal="center" vertical="center" wrapText="1"/>
    </xf>
    <xf numFmtId="2" fontId="5" fillId="0" borderId="2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 readingOrder="2"/>
    </xf>
    <xf numFmtId="165" fontId="5" fillId="0" borderId="2" xfId="1" applyNumberFormat="1" applyFont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 readingOrder="1"/>
    </xf>
    <xf numFmtId="14" fontId="5" fillId="0" borderId="0" xfId="1" applyNumberFormat="1" applyFont="1" applyAlignment="1">
      <alignment horizontal="center" vertical="center" wrapText="1" readingOrder="2"/>
    </xf>
    <xf numFmtId="0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12" fillId="0" borderId="0" xfId="0" applyFont="1"/>
    <xf numFmtId="0" fontId="5" fillId="0" borderId="1" xfId="1" applyFont="1" applyBorder="1" applyAlignment="1">
      <alignment horizontal="center" vertical="center" wrapText="1" readingOrder="2"/>
    </xf>
    <xf numFmtId="165" fontId="5" fillId="0" borderId="1" xfId="1" applyNumberFormat="1" applyFont="1" applyBorder="1" applyAlignment="1">
      <alignment horizontal="center" vertical="center" wrapText="1"/>
    </xf>
    <xf numFmtId="166" fontId="5" fillId="0" borderId="1" xfId="1" applyNumberFormat="1" applyFont="1" applyBorder="1" applyAlignment="1">
      <alignment horizontal="center" vertical="center" wrapText="1"/>
    </xf>
    <xf numFmtId="14" fontId="5" fillId="0" borderId="0" xfId="1" applyNumberFormat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166" fontId="15" fillId="0" borderId="0" xfId="1" applyNumberFormat="1" applyFont="1" applyAlignment="1">
      <alignment horizontal="center" vertical="center" wrapText="1"/>
    </xf>
    <xf numFmtId="0" fontId="4" fillId="7" borderId="0" xfId="1" applyFont="1" applyFill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6" fillId="0" borderId="0" xfId="0" applyFont="1"/>
    <xf numFmtId="0" fontId="17" fillId="0" borderId="0" xfId="1" applyFont="1" applyAlignment="1">
      <alignment horizontal="center" vertical="center" wrapText="1" readingOrder="2"/>
    </xf>
    <xf numFmtId="0" fontId="4" fillId="0" borderId="0" xfId="1" applyFont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16" fontId="5" fillId="0" borderId="0" xfId="1" applyNumberFormat="1" applyFont="1" applyAlignment="1">
      <alignment horizontal="center" vertical="center" wrapText="1" readingOrder="2"/>
    </xf>
  </cellXfs>
  <cellStyles count="2">
    <cellStyle name="Normal 2" xfId="1" xr:uid="{00000000-0005-0000-0000-000001000000}"/>
    <cellStyle name="عادي" xfId="0" builtinId="0"/>
  </cellStyles>
  <dxfs count="149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0.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0.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akkal Majalla"/>
        <scheme val="none"/>
      </font>
      <numFmt numFmtId="166" formatCode="[$-F800]dddd\,\ mmmm\ dd\,\ yyyy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9" formatCode="dd/mm/yyyy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rgb="FF000000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166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akkal Majall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5" formatCode="yyyy/mm/dd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4" formatCode="0.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6" formatCode="[$-F800]dddd\,\ mmmm\ dd\,\ 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165" formatCode="yyyy/mm/dd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نمط الجدول 1" pivot="0" count="0" xr9:uid="{00000000-0011-0000-FFFF-FFFF00000000}"/>
  </tableStyles>
  <colors>
    <mruColors>
      <color rgb="FFFF0000"/>
      <color rgb="FFFF66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3F0D21-51F9-4D5F-B71B-F1ADDD1149DB}" name="الجدول2" displayName="الجدول2" ref="A1:AA126" totalsRowShown="0" headerRowDxfId="148" dataDxfId="147" tableBorderDxfId="146" headerRowCellStyle="Normal 2" dataCellStyle="Normal 2">
  <autoFilter ref="A1:AA126" xr:uid="{9B3F0D21-51F9-4D5F-B71B-F1ADDD1149DB}"/>
  <sortState xmlns:xlrd2="http://schemas.microsoft.com/office/spreadsheetml/2017/richdata2" ref="A2:AA126">
    <sortCondition ref="A2:A126"/>
    <sortCondition ref="B2:B126"/>
  </sortState>
  <tableColumns count="27">
    <tableColumn id="1" xr3:uid="{19B68AD6-3741-4F47-9EAA-8AC056CC92A9}" name="المحطة" dataDxfId="145" dataCellStyle="Normal 2"/>
    <tableColumn id="2" xr3:uid="{4A1A1182-9DEB-40D8-BD47-8BB7589E3D4E}" name="المحول" dataDxfId="144" dataCellStyle="Normal 2"/>
    <tableColumn id="3" xr3:uid="{36B0AD47-3632-4EE5-84C8-DA6E506ED7BF}" name="الجهد" dataDxfId="143" dataCellStyle="Normal 2"/>
    <tableColumn id="4" xr3:uid="{A62C0867-A5DE-49D1-A507-8D0B86F826A5}" name="تاريخ العينة" dataDxfId="142" dataCellStyle="Normal 2"/>
    <tableColumn id="27" xr3:uid="{56E4D25E-6845-40F0-8A37-43CA47C8B456}" name="تاريخ التحليل" dataDxfId="141" dataCellStyle="Normal 2"/>
    <tableColumn id="5" xr3:uid="{27CD71FE-620F-4042-B8EE-1E9976CE50EE}" name=" حتى اليوم" dataDxfId="140" dataCellStyle="Normal 2">
      <calculatedColumnFormula>IFERROR(DATEDIF(D2,TODAY(),"YM") &amp; "  m " &amp; DATEDIF(D2,TODAY(),"MD") &amp; "  D "," ")</calculatedColumnFormula>
    </tableColumn>
    <tableColumn id="6" xr3:uid="{16643DBA-F921-4540-A5C5-D978E1952BC1}" name="O2" dataDxfId="139" dataCellStyle="Normal 2"/>
    <tableColumn id="7" xr3:uid="{C2E9278A-CFD6-48CA-9AE3-71F7E0F26F04}" name="N2" dataDxfId="138" dataCellStyle="Normal 2"/>
    <tableColumn id="8" xr3:uid="{722C332E-B0F1-4A9D-99F1-FA2203CAF875}" name="O2/N2" dataDxfId="137" dataCellStyle="Normal 2">
      <calculatedColumnFormula>G2/H2</calculatedColumnFormula>
    </tableColumn>
    <tableColumn id="9" xr3:uid="{D80F84D2-01B0-4214-B6BE-C3C302A21BF8}" name="H2" dataDxfId="136" dataCellStyle="Normal 2"/>
    <tableColumn id="10" xr3:uid="{A95CE02A-A582-4BA1-A077-5C4A65478D7A}" name="CO2" dataDxfId="135" dataCellStyle="Normal 2"/>
    <tableColumn id="11" xr3:uid="{B8323AEF-AF8E-4E72-AF7C-F466B4FFF413}" name="C2H4" dataDxfId="134" dataCellStyle="Normal 2"/>
    <tableColumn id="12" xr3:uid="{398DECBA-C2FA-4E44-B157-546CAB4E0140}" name="C2H6" dataDxfId="133" dataCellStyle="Normal 2"/>
    <tableColumn id="13" xr3:uid="{3FE7924D-4878-44C3-ABCE-76F5D9BAEE99}" name="C2H2" dataDxfId="132" dataCellStyle="Normal 2"/>
    <tableColumn id="14" xr3:uid="{F16DBC6D-1BCB-465E-B760-878D42D429E9}" name="CH4" dataDxfId="131" dataCellStyle="Normal 2"/>
    <tableColumn id="15" xr3:uid="{9147400B-1EBB-4BE7-A28D-5E8B553B6AE8}" name="CO" dataDxfId="130" dataCellStyle="Normal 2"/>
    <tableColumn id="16" xr3:uid="{1209FAB1-3BE7-4907-96B0-867358DB042A}" name="Result of _x000a_analysis" dataDxfId="129" dataCellStyle="Normal 2"/>
    <tableColumn id="25" xr3:uid="{62D80CA4-57E7-49A3-855E-C9FCCBFB95BA}" name="DGA" dataDxfId="128" dataCellStyle="Normal 2"/>
    <tableColumn id="17" xr3:uid="{2999738C-B693-4488-AB00-BD85798962B2}" name="C.Recommended" dataDxfId="127" dataCellStyle="Normal 2"/>
    <tableColumn id="18" xr3:uid="{6B39469E-2B49-4B01-8B09-475C65E9A2BB}" name="تاريخ إعادة التحليل" dataDxfId="126" dataCellStyle="Normal 2">
      <calculatedColumnFormula>IFERROR(IF(U2&gt;=1,EDATE(D2,U2),"غير محدد"),"غير محدد")</calculatedColumnFormula>
    </tableColumn>
    <tableColumn id="19" xr3:uid="{4A561FF0-7AFB-4B3B-912F-C0665C0A7E55}" name="عمود3" dataDxfId="125" dataCellStyle="Normal 2">
      <calculatedColumnFormula array="1">IFERROR(MID(S2,MATCH(TRUE,ISNUMBER(1*MID(S2,ROW($1:$11),1)),0),COUNT(1*MID(S2,ROW($1:$11),1))),"غير محدد")</calculatedColumnFormula>
    </tableColumn>
    <tableColumn id="20" xr3:uid="{BF9D4DCE-419F-47B2-BE9F-18E5B9015168}" name="الحالة" dataDxfId="124" dataCellStyle="Normal 2"/>
    <tableColumn id="21" xr3:uid="{EA67DB84-BDAE-4CAB-B113-D566BAFFA2AF}" name="CO2 /_x000a_ CO" dataDxfId="123" dataCellStyle="Normal 2">
      <calculatedColumnFormula>الشمالي!$K2/الشمالي!$P2</calculatedColumnFormula>
    </tableColumn>
    <tableColumn id="22" xr3:uid="{C9747449-5040-464F-83CB-2AF55BE52D7A}" name="C2H2/_x000a_C2H4" dataDxfId="122" dataCellStyle="Normal 2">
      <calculatedColumnFormula>N2/L2</calculatedColumnFormula>
    </tableColumn>
    <tableColumn id="23" xr3:uid="{DE023233-9E5E-47C3-BAC2-CAA645D8EED3}" name="C2H4/_x000a_C2H6" dataDxfId="121" dataCellStyle="Normal 2">
      <calculatedColumnFormula>L2/M2</calculatedColumnFormula>
    </tableColumn>
    <tableColumn id="24" xr3:uid="{298BB48D-1E45-4D94-9460-F09BF3596D3B}" name="CH4_x000a_/H2" dataDxfId="120" dataCellStyle="Normal 2">
      <calculatedColumnFormula>O2/J2</calculatedColumnFormula>
    </tableColumn>
    <tableColumn id="26" xr3:uid="{558F0E3E-06BC-4997-8127-8356ED0D2C83}" name="عمود2" dataDxfId="119" dataCellStyle="Normal 2">
      <calculatedColumnFormula>IFERROR(DATEDIF(T2,TODAY(),"MD") &amp; "   ","0 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الجدول1" displayName="الجدول1" ref="A1:Z138" totalsRowShown="0" headerRowDxfId="118" dataDxfId="116" headerRowBorderDxfId="117" tableBorderDxfId="115" headerRowCellStyle="Normal 2" dataCellStyle="Normal 2">
  <autoFilter ref="A1:Z138" xr:uid="{00000000-000C-0000-FFFF-FFFF01000000}"/>
  <sortState xmlns:xlrd2="http://schemas.microsoft.com/office/spreadsheetml/2017/richdata2" ref="A2:Z138">
    <sortCondition ref="A2:A138"/>
    <sortCondition ref="B2:B138"/>
    <sortCondition ref="D2:D138"/>
  </sortState>
  <tableColumns count="26">
    <tableColumn id="3" xr3:uid="{00000000-0010-0000-0100-000003000000}" name="المحطة" dataDxfId="114" dataCellStyle="Normal 2"/>
    <tableColumn id="4" xr3:uid="{00000000-0010-0000-0100-000004000000}" name="المحول" dataDxfId="113" dataCellStyle="Normal 2"/>
    <tableColumn id="5" xr3:uid="{00000000-0010-0000-0100-000005000000}" name="الجهد" dataDxfId="112" dataCellStyle="Normal 2"/>
    <tableColumn id="6" xr3:uid="{00000000-0010-0000-0100-000006000000}" name="تاريخ العينة" dataDxfId="111" dataCellStyle="Normal 2"/>
    <tableColumn id="8" xr3:uid="{00000000-0010-0000-0100-000008000000}" name=" حتى اليوم" dataDxfId="110" dataCellStyle="Normal 2">
      <calculatedColumnFormula>IFERROR(DATEDIF(D2,TODAY(),"YM") &amp; "  m " &amp; DATEDIF(D2,TODAY(),"MD") &amp; "  D "," ")</calculatedColumnFormula>
    </tableColumn>
    <tableColumn id="1" xr3:uid="{72F7CC4E-6EF0-4BD2-B095-F9560AD106A7}" name="O2" dataDxfId="109" dataCellStyle="Normal 2"/>
    <tableColumn id="2" xr3:uid="{B34ADEA7-0800-40F7-A4CF-06193DA9D18A}" name="N2" dataDxfId="108" dataCellStyle="Normal 2"/>
    <tableColumn id="19" xr3:uid="{00000000-0010-0000-0100-000013000000}" name="O2/N2" dataDxfId="107" dataCellStyle="Normal 2">
      <calculatedColumnFormula>الجدول1[[#This Row],[O2]]/الجدول1[[#This Row],[N2]]</calculatedColumnFormula>
    </tableColumn>
    <tableColumn id="9" xr3:uid="{00000000-0010-0000-0100-000009000000}" name="H2" dataDxfId="106" dataCellStyle="Normal 2"/>
    <tableColumn id="12" xr3:uid="{00000000-0010-0000-0100-00000C000000}" name="CO2" dataDxfId="105" dataCellStyle="Normal 2"/>
    <tableColumn id="13" xr3:uid="{00000000-0010-0000-0100-00000D000000}" name="C2H4" dataDxfId="104" dataCellStyle="Normal 2"/>
    <tableColumn id="14" xr3:uid="{00000000-0010-0000-0100-00000E000000}" name="C2H6" dataDxfId="103" dataCellStyle="Normal 2"/>
    <tableColumn id="15" xr3:uid="{00000000-0010-0000-0100-00000F000000}" name="C2H2" dataDxfId="102" dataCellStyle="Normal 2"/>
    <tableColumn id="16" xr3:uid="{00000000-0010-0000-0100-000010000000}" name="CH4" dataDxfId="101" dataCellStyle="Normal 2"/>
    <tableColumn id="17" xr3:uid="{00000000-0010-0000-0100-000011000000}" name="CO" dataDxfId="100" dataCellStyle="Normal 2"/>
    <tableColumn id="25" xr3:uid="{00000000-0010-0000-0100-000019000000}" name="Result of analysis" dataDxfId="99" dataCellStyle="Normal 2"/>
    <tableColumn id="26" xr3:uid="{00000000-0010-0000-0100-00001A000000}" name="DGA" dataDxfId="98" dataCellStyle="Normal 2"/>
    <tableColumn id="27" xr3:uid="{00000000-0010-0000-0100-00001B000000}" name="C.Recommended" dataDxfId="97" dataCellStyle="Normal 2"/>
    <tableColumn id="10" xr3:uid="{982220F1-161E-454E-A9E6-76F39B02D5A5}" name="تاريخ إعادة التحاليل" dataDxfId="96" dataCellStyle="Normal 2">
      <calculatedColumnFormula>IFERROR(IF(T2&gt;=1,EDATE(D2,T2),"غير محدد"),"غير محدد")</calculatedColumnFormula>
    </tableColumn>
    <tableColumn id="7" xr3:uid="{12A151C4-58F6-43D1-83BB-F14C81E3B5E1}" name="عمود1" dataDxfId="95" dataCellStyle="Normal 2">
      <calculatedColumnFormula array="1">IFERROR(MID(R2,MATCH(TRUE,ISNUMBER(1*MID(R2,ROW($1:$13),1)),0),COUNT(1*MID(R2,ROW($1:$13),1))),"غير محدد")</calculatedColumnFormula>
    </tableColumn>
    <tableColumn id="28" xr3:uid="{00000000-0010-0000-0100-00001C000000}" name="الحالة" dataDxfId="94" dataCellStyle="Normal 2"/>
    <tableColumn id="18" xr3:uid="{2555DC16-04A9-470A-9208-FCCFE8E5F492}" name="CO2 /_x000a_ CO" dataDxfId="93" dataCellStyle="Normal 2">
      <calculatedColumnFormula>الجدول1[[#This Row],[CO2]]/الجدول1[[#This Row],[CO]]</calculatedColumnFormula>
    </tableColumn>
    <tableColumn id="24" xr3:uid="{85F2A7FE-AB65-4C1A-92EC-854E30408E3E}" name="C2H2/_x000a_C2H4" dataDxfId="92" dataCellStyle="Normal 2">
      <calculatedColumnFormula>الجدول1[[#This Row],[C2H2]]/الجدول1[[#This Row],[C2H4]]</calculatedColumnFormula>
    </tableColumn>
    <tableColumn id="20" xr3:uid="{00000000-0010-0000-0100-000014000000}" name="C2H4/_x000a_C2H6" dataDxfId="91" dataCellStyle="Normal 2">
      <calculatedColumnFormula>الجدول1[[#This Row],[C2H4]]/الجدول1[[#This Row],[C2H6]]</calculatedColumnFormula>
    </tableColumn>
    <tableColumn id="21" xr3:uid="{00000000-0010-0000-0100-000015000000}" name="CH4_x000a_/H2" dataDxfId="90" dataCellStyle="Normal 2">
      <calculatedColumnFormula>الجدول1[[#This Row],[CH4]]/الجدول1[[#This Row],[H2]]</calculatedColumnFormula>
    </tableColumn>
    <tableColumn id="11" xr3:uid="{70ED2ED8-0EE0-4B71-AC58-1262000095A6}" name="عمود2" dataDxfId="89" dataCellStyle="Normal 2">
      <calculatedColumnFormula>IFERROR(DATEDIF(S2,TODAY(),"MD") &amp; "   ","0 ")</calculatedColumnFormula>
    </tableColumn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4DF64-F9F6-4503-A9D0-E6F8127D3810}" name="الجدول3" displayName="الجدول3" ref="A1:AA175" totalsRowShown="0" headerRowDxfId="88" dataDxfId="87" tableBorderDxfId="86" dataCellStyle="Normal 2">
  <autoFilter ref="A1:AA175" xr:uid="{D0C4DF64-F9F6-4503-A9D0-E6F8127D3810}"/>
  <sortState xmlns:xlrd2="http://schemas.microsoft.com/office/spreadsheetml/2017/richdata2" ref="A2:AA175">
    <sortCondition ref="A2:A175"/>
    <sortCondition ref="B2:B175"/>
    <sortCondition ref="D2:D175"/>
  </sortState>
  <tableColumns count="27">
    <tableColumn id="1" xr3:uid="{7979CFC6-D91D-43CD-879D-348B30217DE8}" name="المحطة" dataDxfId="85" dataCellStyle="Normal 2"/>
    <tableColumn id="2" xr3:uid="{72987A81-CC06-45EA-84F2-3A407E090F87}" name="المحول" dataDxfId="84" dataCellStyle="Normal 2"/>
    <tableColumn id="3" xr3:uid="{A3E98920-5761-4DB8-906D-EB28A6534EBB}" name="الجهد" dataDxfId="83" dataCellStyle="Normal 2"/>
    <tableColumn id="4" xr3:uid="{2311B506-F292-4CE6-A414-F5456F151BD6}" name="تاريخ العينة" dataDxfId="82" dataCellStyle="Normal 2"/>
    <tableColumn id="27" xr3:uid="{E5EF7A9B-6DFB-49C1-A5D6-25FEDC6BF24E}" name="تاريخ التحليل" dataDxfId="81" dataCellStyle="Normal 2"/>
    <tableColumn id="5" xr3:uid="{41537A0C-1255-4BCE-96DB-855BE0FA2F0C}" name=" حتى اليوم" dataDxfId="80" dataCellStyle="Normal 2">
      <calculatedColumnFormula>IFERROR(DATEDIF(D2,TODAY(),"YM") &amp; "  m " &amp; DATEDIF(D2,TODAY(),"MD") &amp; "  D "," ")</calculatedColumnFormula>
    </tableColumn>
    <tableColumn id="6" xr3:uid="{7A5BA17E-B4DA-4A83-8CBF-9698F96F8AE1}" name="O2" dataDxfId="79" dataCellStyle="Normal 2"/>
    <tableColumn id="7" xr3:uid="{5748B341-10C7-429C-ADFD-61063D650695}" name="N2" dataDxfId="78" dataCellStyle="Normal 2"/>
    <tableColumn id="8" xr3:uid="{1013C20B-4C85-4E1C-BFF6-E50560623B20}" name="O2/N2" dataDxfId="77" dataCellStyle="Normal 2">
      <calculatedColumnFormula>'اسيوط الوادي'!$G2/'اسيوط الوادي'!$H2</calculatedColumnFormula>
    </tableColumn>
    <tableColumn id="9" xr3:uid="{DF64C81F-2EDB-4F9A-B34E-193316BD02A5}" name="H2" dataDxfId="76" dataCellStyle="Normal 2"/>
    <tableColumn id="10" xr3:uid="{7C68DFBC-77A6-4559-A831-5501B794C46A}" name="CO2" dataDxfId="75" dataCellStyle="Normal 2"/>
    <tableColumn id="11" xr3:uid="{9292ACA7-7FE4-410A-B749-A142A148C2D6}" name="C2H4" dataDxfId="74" dataCellStyle="Normal 2"/>
    <tableColumn id="12" xr3:uid="{AE987175-6C9B-45EE-81A5-8DDD127773B8}" name="C2H6" dataDxfId="73" dataCellStyle="Normal 2"/>
    <tableColumn id="13" xr3:uid="{DA32113C-EFC2-4111-82D4-65C306DA4FCB}" name="C2H2" dataDxfId="72" dataCellStyle="Normal 2"/>
    <tableColumn id="14" xr3:uid="{7589AC39-E32D-47E2-A2E7-D6B3C25C4AA0}" name="CH4" dataDxfId="71" dataCellStyle="Normal 2"/>
    <tableColumn id="15" xr3:uid="{1A29F036-99F2-42E8-B53B-F2688B7ED321}" name="CO" dataDxfId="70" dataCellStyle="Normal 2"/>
    <tableColumn id="24" xr3:uid="{39D01BBB-45B2-4F67-97B0-49E5B82DE783}" name="Result of analysis" dataDxfId="69" dataCellStyle="Normal 2"/>
    <tableColumn id="25" xr3:uid="{37840ED9-15C9-4775-9C35-B0D892182707}" name="DGA" dataDxfId="68" dataCellStyle="Normal 2"/>
    <tableColumn id="16" xr3:uid="{C8EBC8AB-26CE-464A-B01F-3B8A1139D6DC}" name="C.Recommended" dataDxfId="67" dataCellStyle="Normal 2"/>
    <tableColumn id="17" xr3:uid="{03F9F7CD-C50B-4F62-98C2-B95EE2D94E71}" name="تاريخ إعادة التحليل" dataDxfId="66" dataCellStyle="Normal 2">
      <calculatedColumnFormula>IFERROR(IF(V2&gt;=1,EDATE(D2,U2),"غير محدد"),"غير محدد")</calculatedColumnFormula>
    </tableColumn>
    <tableColumn id="18" xr3:uid="{DF121DED-9601-4395-8E24-9F71B4B6B811}" name="عمود1" dataDxfId="65" dataCellStyle="Normal 2">
      <calculatedColumnFormula array="1">IFERROR(MID(S2,MATCH(TRUE,ISNUMBER(1*MID(S2,ROW($1:$10),1)),0),COUNT(1*MID(S2,ROW($1:$10),1))),"غير محدد")</calculatedColumnFormula>
    </tableColumn>
    <tableColumn id="19" xr3:uid="{CEAEA5A9-39FD-40B0-B79E-7B988F4FC934}" name="الحالة" dataDxfId="64" dataCellStyle="Normal 2"/>
    <tableColumn id="20" xr3:uid="{F4DD0FF1-419A-40CA-A08B-9D33A6720B78}" name="CO2 /_x000a_ CO" dataDxfId="63" dataCellStyle="Normal 2">
      <calculatedColumnFormula>'اسيوط الوادي'!$K2/'اسيوط الوادي'!$P2</calculatedColumnFormula>
    </tableColumn>
    <tableColumn id="21" xr3:uid="{AE33EF9A-75AA-483D-983B-E366C0963C71}" name="C2H2/_x000a_C2H4" dataDxfId="62" dataCellStyle="Normal 2">
      <calculatedColumnFormula>N2/L2</calculatedColumnFormula>
    </tableColumn>
    <tableColumn id="22" xr3:uid="{2A88D010-7E19-484A-B879-178D1C9422B1}" name="C2H4/_x000a_C2H6" dataDxfId="61" dataCellStyle="Normal 2">
      <calculatedColumnFormula>L2/M2</calculatedColumnFormula>
    </tableColumn>
    <tableColumn id="23" xr3:uid="{1C3E5C14-9DAC-482C-A257-AEBB951039F6}" name="CH4_x000a_/H2" dataDxfId="60" dataCellStyle="Normal 2">
      <calculatedColumnFormula>O2/J2</calculatedColumnFormula>
    </tableColumn>
    <tableColumn id="26" xr3:uid="{454DDB9F-2A5C-443E-98E2-814BEEE062E7}" name="عمود22" dataDxfId="59" dataCellStyle="Normal 2">
      <calculatedColumnFormula>IFERROR(DATEDIF(T2,TODAY(),"MD") &amp; "   ","0 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8B48C6-13C0-417D-8F3F-A4BAB07C949E}">
  <we:reference id="wa200005271" version="1.1.0.0" store="ar-SA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>
    <pageSetUpPr fitToPage="1"/>
  </sheetPr>
  <dimension ref="A1:AJ126"/>
  <sheetViews>
    <sheetView rightToLeft="1" tabSelected="1" view="pageBreakPreview" zoomScale="75" zoomScaleNormal="68" zoomScaleSheetLayoutView="75" workbookViewId="0">
      <pane xSplit="23" ySplit="1" topLeftCell="X107" activePane="bottomRight" state="frozen"/>
      <selection pane="topRight" activeCell="T1" sqref="T1"/>
      <selection pane="bottomLeft" activeCell="A2" sqref="A2"/>
      <selection pane="bottomRight" activeCell="V110" sqref="V110"/>
    </sheetView>
  </sheetViews>
  <sheetFormatPr defaultColWidth="9" defaultRowHeight="22.15" customHeight="1" x14ac:dyDescent="0.25"/>
  <cols>
    <col min="1" max="1" width="17.25" style="5" bestFit="1" customWidth="1"/>
    <col min="2" max="2" width="10.75" style="5" bestFit="1" customWidth="1"/>
    <col min="3" max="3" width="10.375" style="6" bestFit="1" customWidth="1"/>
    <col min="4" max="4" width="11.625" style="5" customWidth="1"/>
    <col min="5" max="5" width="11.5" style="6" customWidth="1"/>
    <col min="6" max="6" width="9" style="48"/>
    <col min="7" max="8" width="8.375" style="5" bestFit="1" customWidth="1"/>
    <col min="9" max="9" width="8.375" style="36" bestFit="1" customWidth="1"/>
    <col min="10" max="10" width="11.625" style="5" bestFit="1" customWidth="1"/>
    <col min="11" max="11" width="8.25" style="5" bestFit="1" customWidth="1"/>
    <col min="12" max="12" width="9.5" style="5" bestFit="1" customWidth="1"/>
    <col min="13" max="15" width="10.5" style="5" bestFit="1" customWidth="1"/>
    <col min="16" max="16" width="9.375" style="5" bestFit="1" customWidth="1"/>
    <col min="17" max="17" width="8.5" style="5" bestFit="1" customWidth="1"/>
    <col min="18" max="18" width="10.5" style="5" customWidth="1"/>
    <col min="19" max="19" width="5.875" style="36" customWidth="1"/>
    <col min="20" max="20" width="16" style="36" customWidth="1"/>
    <col min="21" max="21" width="15.5" style="36" hidden="1" customWidth="1"/>
    <col min="22" max="22" width="10.875" style="36" customWidth="1"/>
    <col min="23" max="23" width="12.25" style="36" hidden="1" customWidth="1"/>
    <col min="24" max="24" width="10.625" style="36" customWidth="1"/>
    <col min="25" max="26" width="11.25" style="36" customWidth="1"/>
    <col min="27" max="27" width="9.375" style="5" customWidth="1"/>
    <col min="28" max="28" width="10.875" style="36" bestFit="1" customWidth="1"/>
    <col min="29" max="29" width="18.625" style="5" customWidth="1"/>
    <col min="30" max="30" width="14.25" style="36" customWidth="1"/>
    <col min="31" max="31" width="9" style="36"/>
    <col min="32" max="32" width="10.5" style="5" customWidth="1"/>
    <col min="33" max="34" width="12.5" style="5" customWidth="1"/>
    <col min="35" max="35" width="10.5" style="5" customWidth="1"/>
    <col min="36" max="36" width="18.375" style="36" customWidth="1"/>
    <col min="37" max="37" width="18.75" style="5" customWidth="1"/>
    <col min="38" max="38" width="28.75" style="5" customWidth="1"/>
    <col min="39" max="16384" width="9" style="5"/>
  </cols>
  <sheetData>
    <row r="1" spans="1:36" ht="22.15" customHeight="1" x14ac:dyDescent="0.2">
      <c r="A1" s="5" t="s">
        <v>44</v>
      </c>
      <c r="B1" s="5" t="s">
        <v>45</v>
      </c>
      <c r="C1" s="6" t="s">
        <v>84</v>
      </c>
      <c r="D1" s="5" t="s">
        <v>46</v>
      </c>
      <c r="E1" s="49" t="s">
        <v>214</v>
      </c>
      <c r="F1" s="45" t="s">
        <v>83</v>
      </c>
      <c r="G1" s="5" t="s">
        <v>2</v>
      </c>
      <c r="H1" s="5" t="s">
        <v>3</v>
      </c>
      <c r="I1" s="5" t="s">
        <v>82</v>
      </c>
      <c r="J1" s="5" t="s">
        <v>1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174</v>
      </c>
      <c r="R1" s="5" t="s">
        <v>119</v>
      </c>
      <c r="S1" s="5" t="s">
        <v>120</v>
      </c>
      <c r="T1" s="5" t="s">
        <v>176</v>
      </c>
      <c r="U1" s="5" t="s">
        <v>175</v>
      </c>
      <c r="V1" s="5" t="s">
        <v>89</v>
      </c>
      <c r="W1" s="5" t="s">
        <v>88</v>
      </c>
      <c r="X1" s="5" t="s">
        <v>87</v>
      </c>
      <c r="Y1" s="5" t="s">
        <v>85</v>
      </c>
      <c r="Z1" s="5" t="s">
        <v>86</v>
      </c>
      <c r="AA1" s="5" t="s">
        <v>178</v>
      </c>
      <c r="AB1" s="5"/>
      <c r="AD1" s="5"/>
      <c r="AE1" s="5"/>
      <c r="AJ1" s="5"/>
    </row>
    <row r="2" spans="1:36" ht="22.15" customHeight="1" x14ac:dyDescent="0.2">
      <c r="A2" s="5" t="s">
        <v>211</v>
      </c>
      <c r="B2" s="5">
        <v>3</v>
      </c>
      <c r="C2" s="6" t="s">
        <v>212</v>
      </c>
      <c r="D2" s="10">
        <v>45895</v>
      </c>
      <c r="F2" s="45" t="str">
        <f t="shared" ref="F2:F33" ca="1" si="0">IFERROR(DATEDIF(D2,TODAY(),"YM") &amp; "  m " &amp; DATEDIF(D2,TODAY(),"MD") &amp; "  D "," ")</f>
        <v xml:space="preserve">3  m 20  D </v>
      </c>
      <c r="G2" s="5">
        <v>51327</v>
      </c>
      <c r="H2" s="5">
        <v>258560</v>
      </c>
      <c r="I2" s="22">
        <f t="shared" ref="I2:I34" si="1">G2/H2</f>
        <v>0.19851098391089109</v>
      </c>
      <c r="J2" s="5">
        <v>122</v>
      </c>
      <c r="K2" s="5">
        <v>3092</v>
      </c>
      <c r="L2" s="5">
        <v>1</v>
      </c>
      <c r="M2" s="5">
        <v>2</v>
      </c>
      <c r="N2" s="5">
        <v>0</v>
      </c>
      <c r="O2" s="5">
        <v>1</v>
      </c>
      <c r="P2" s="5">
        <v>276</v>
      </c>
      <c r="Q2" s="5" t="s">
        <v>13</v>
      </c>
      <c r="R2" s="5" t="s">
        <v>90</v>
      </c>
      <c r="S2" s="5" t="s">
        <v>153</v>
      </c>
      <c r="T2" s="25">
        <f t="shared" ref="T2:T33" si="2">IFERROR(IF(U2&gt;=1,EDATE(D2,U2),"غير محدد"),"غير محدد")</f>
        <v>45987</v>
      </c>
      <c r="U2" s="5" t="str" cm="1">
        <f t="array" ref="U2">IFERROR(MID(S2,MATCH(TRUE,ISNUMBER(1*MID(S2,ROW($1:$11),1)),0),COUNT(1*MID(S2,ROW($1:$11),1))),"غير محدد")</f>
        <v>3</v>
      </c>
      <c r="V2" s="5" t="s">
        <v>57</v>
      </c>
      <c r="W2" s="26">
        <f>الشمالي!$K126/الشمالي!$P126</f>
        <v>5.26</v>
      </c>
      <c r="X2" s="22">
        <f t="shared" ref="X2:X34" si="3">N2/L2</f>
        <v>0</v>
      </c>
      <c r="Y2" s="22">
        <f t="shared" ref="Y2:Y34" si="4">L2/M2</f>
        <v>0.5</v>
      </c>
      <c r="Z2" s="22">
        <f t="shared" ref="Z2:Z34" si="5">O2/J2</f>
        <v>8.1967213114754103E-3</v>
      </c>
      <c r="AA2" s="22" t="str">
        <f t="shared" ref="AA2:AA34" ca="1" si="6">IFERROR(DATEDIF(T2,TODAY(),"MD") &amp; "   ","0 ")</f>
        <v xml:space="preserve">20   </v>
      </c>
      <c r="AB2" s="5"/>
      <c r="AD2" s="5"/>
      <c r="AE2" s="5"/>
      <c r="AJ2" s="5"/>
    </row>
    <row r="3" spans="1:36" ht="22.15" customHeight="1" x14ac:dyDescent="0.2">
      <c r="A3" s="27" t="s">
        <v>134</v>
      </c>
      <c r="B3" s="27" t="s">
        <v>24</v>
      </c>
      <c r="C3" s="28" t="s">
        <v>27</v>
      </c>
      <c r="D3" s="29">
        <v>45245</v>
      </c>
      <c r="E3" s="28"/>
      <c r="F3" s="46" t="str">
        <f t="shared" ca="1" si="0"/>
        <v xml:space="preserve">1  m 1  D </v>
      </c>
      <c r="G3" s="27">
        <v>33066</v>
      </c>
      <c r="H3" s="27">
        <v>91013</v>
      </c>
      <c r="I3" s="23">
        <f t="shared" si="1"/>
        <v>0.36331073582894752</v>
      </c>
      <c r="J3" s="27">
        <v>76</v>
      </c>
      <c r="K3" s="27">
        <v>3838</v>
      </c>
      <c r="L3" s="27">
        <v>4</v>
      </c>
      <c r="M3" s="27">
        <v>4</v>
      </c>
      <c r="N3" s="27">
        <v>0</v>
      </c>
      <c r="O3" s="27">
        <v>3</v>
      </c>
      <c r="P3" s="27">
        <v>201</v>
      </c>
      <c r="Q3" s="27" t="s">
        <v>13</v>
      </c>
      <c r="R3" s="27" t="s">
        <v>90</v>
      </c>
      <c r="S3" s="27" t="s">
        <v>12</v>
      </c>
      <c r="T3" s="30" t="str">
        <f t="shared" si="2"/>
        <v>غير محدد</v>
      </c>
      <c r="U3" s="27" t="str" cm="1">
        <f t="array" ref="U3">IFERROR(MID(S3,MATCH(TRUE,ISNUMBER(1*MID(S3,ROW($1:$12),1)),0),COUNT(1*MID(S3,ROW($1:$12),1))),"غير محدد")</f>
        <v>غير محدد</v>
      </c>
      <c r="V3" s="5" t="s">
        <v>93</v>
      </c>
      <c r="W3" s="31">
        <f>الشمالي!$K3/الشمالي!$P3</f>
        <v>19.094527363184081</v>
      </c>
      <c r="X3" s="23">
        <f t="shared" si="3"/>
        <v>0</v>
      </c>
      <c r="Y3" s="23">
        <f t="shared" si="4"/>
        <v>1</v>
      </c>
      <c r="Z3" s="23">
        <f t="shared" si="5"/>
        <v>3.9473684210526314E-2</v>
      </c>
      <c r="AA3" s="23" t="str">
        <f t="shared" ca="1" si="6"/>
        <v xml:space="preserve">0 </v>
      </c>
      <c r="AB3" s="5"/>
      <c r="AD3" s="5"/>
      <c r="AE3" s="5"/>
      <c r="AJ3" s="5"/>
    </row>
    <row r="4" spans="1:36" ht="22.15" customHeight="1" x14ac:dyDescent="0.2">
      <c r="A4" s="5" t="s">
        <v>134</v>
      </c>
      <c r="B4" s="5" t="s">
        <v>24</v>
      </c>
      <c r="C4" s="6" t="s">
        <v>27</v>
      </c>
      <c r="D4" s="10">
        <v>45403</v>
      </c>
      <c r="F4" s="45" t="str">
        <f t="shared" ca="1" si="0"/>
        <v xml:space="preserve">7  m 25  D </v>
      </c>
      <c r="G4" s="5">
        <v>47010</v>
      </c>
      <c r="H4" s="5">
        <v>76983</v>
      </c>
      <c r="I4" s="22">
        <f t="shared" si="1"/>
        <v>0.61065430030006629</v>
      </c>
      <c r="J4" s="5">
        <v>41</v>
      </c>
      <c r="K4" s="5">
        <v>2390</v>
      </c>
      <c r="L4" s="5">
        <v>5</v>
      </c>
      <c r="M4" s="5">
        <v>3</v>
      </c>
      <c r="N4" s="5">
        <v>0</v>
      </c>
      <c r="O4" s="5">
        <v>1</v>
      </c>
      <c r="P4" s="5">
        <v>80</v>
      </c>
      <c r="Q4" s="5" t="s">
        <v>13</v>
      </c>
      <c r="R4" s="5" t="s">
        <v>90</v>
      </c>
      <c r="S4" s="5" t="s">
        <v>151</v>
      </c>
      <c r="T4" s="25">
        <f t="shared" si="2"/>
        <v>45433</v>
      </c>
      <c r="U4" s="5" t="str" cm="1">
        <f t="array" ref="U4">IFERROR(MID(S4,MATCH(TRUE,ISNUMBER(1*MID(S4,ROW($1:$12),1)),0),COUNT(1*MID(S4,ROW($1:$12),1))),"غير محدد")</f>
        <v>1</v>
      </c>
      <c r="V4" s="5" t="s">
        <v>93</v>
      </c>
      <c r="W4" s="26">
        <f>الشمالي!$K5/الشمالي!$P5</f>
        <v>13.727891156462585</v>
      </c>
      <c r="X4" s="22">
        <f t="shared" si="3"/>
        <v>0</v>
      </c>
      <c r="Y4" s="22">
        <f t="shared" si="4"/>
        <v>1.6666666666666667</v>
      </c>
      <c r="Z4" s="22">
        <f t="shared" si="5"/>
        <v>2.4390243902439025E-2</v>
      </c>
      <c r="AA4" s="22" t="str">
        <f t="shared" ca="1" si="6"/>
        <v xml:space="preserve">25   </v>
      </c>
      <c r="AB4" s="5"/>
      <c r="AD4" s="5"/>
      <c r="AE4" s="5"/>
      <c r="AJ4" s="5"/>
    </row>
    <row r="5" spans="1:36" ht="22.15" customHeight="1" x14ac:dyDescent="0.2">
      <c r="A5" s="5" t="s">
        <v>134</v>
      </c>
      <c r="B5" s="5" t="s">
        <v>24</v>
      </c>
      <c r="C5" s="6" t="s">
        <v>27</v>
      </c>
      <c r="D5" s="10">
        <v>45403</v>
      </c>
      <c r="F5" s="45" t="str">
        <f t="shared" ca="1" si="0"/>
        <v xml:space="preserve">7  m 25  D </v>
      </c>
      <c r="G5" s="5">
        <v>21550</v>
      </c>
      <c r="H5" s="5">
        <v>63757</v>
      </c>
      <c r="I5" s="22">
        <f t="shared" si="1"/>
        <v>0.33800210173000611</v>
      </c>
      <c r="J5" s="5">
        <v>123</v>
      </c>
      <c r="K5" s="5">
        <v>2018</v>
      </c>
      <c r="L5" s="5">
        <v>1</v>
      </c>
      <c r="M5" s="5">
        <v>3</v>
      </c>
      <c r="N5" s="5">
        <v>0</v>
      </c>
      <c r="O5" s="5">
        <v>1</v>
      </c>
      <c r="P5" s="5">
        <v>147</v>
      </c>
      <c r="Q5" s="5" t="s">
        <v>13</v>
      </c>
      <c r="R5" s="5" t="s">
        <v>90</v>
      </c>
      <c r="S5" s="5" t="s">
        <v>151</v>
      </c>
      <c r="T5" s="25">
        <f t="shared" si="2"/>
        <v>45433</v>
      </c>
      <c r="U5" s="5" t="str" cm="1">
        <f t="array" ref="U5">IFERROR(MID(S5,MATCH(TRUE,ISNUMBER(1*MID(S5,ROW($1:$12),1)),0),COUNT(1*MID(S5,ROW($1:$12),1))),"غير محدد")</f>
        <v>1</v>
      </c>
      <c r="V5" s="5" t="s">
        <v>57</v>
      </c>
      <c r="W5" s="26">
        <f>الشمالي!$K6/الشمالي!$P6</f>
        <v>5.0441176470588234</v>
      </c>
      <c r="X5" s="22">
        <f t="shared" si="3"/>
        <v>0</v>
      </c>
      <c r="Y5" s="22">
        <f t="shared" si="4"/>
        <v>0.33333333333333331</v>
      </c>
      <c r="Z5" s="22">
        <f t="shared" si="5"/>
        <v>8.130081300813009E-3</v>
      </c>
      <c r="AA5" s="22" t="str">
        <f t="shared" ca="1" si="6"/>
        <v xml:space="preserve">25   </v>
      </c>
      <c r="AB5" s="5"/>
      <c r="AD5" s="5"/>
      <c r="AE5" s="5"/>
      <c r="AJ5" s="5"/>
    </row>
    <row r="6" spans="1:36" ht="22.15" customHeight="1" x14ac:dyDescent="0.2">
      <c r="A6" s="5" t="s">
        <v>133</v>
      </c>
      <c r="B6" s="5" t="s">
        <v>15</v>
      </c>
      <c r="C6" s="6" t="s">
        <v>27</v>
      </c>
      <c r="D6" s="10">
        <v>45245</v>
      </c>
      <c r="F6" s="45" t="str">
        <f t="shared" ca="1" si="0"/>
        <v xml:space="preserve">1  m 1  D </v>
      </c>
      <c r="G6" s="5">
        <v>1519</v>
      </c>
      <c r="H6" s="5">
        <v>68082</v>
      </c>
      <c r="I6" s="22">
        <f t="shared" si="1"/>
        <v>2.2311330454451984E-2</v>
      </c>
      <c r="J6" s="5">
        <v>5</v>
      </c>
      <c r="K6" s="5">
        <v>2744</v>
      </c>
      <c r="L6" s="5">
        <v>3</v>
      </c>
      <c r="M6" s="5">
        <v>2</v>
      </c>
      <c r="N6" s="5">
        <v>0</v>
      </c>
      <c r="O6" s="5">
        <v>4</v>
      </c>
      <c r="P6" s="5">
        <v>544</v>
      </c>
      <c r="Q6" s="5" t="s">
        <v>25</v>
      </c>
      <c r="R6" s="5" t="s">
        <v>96</v>
      </c>
      <c r="S6" s="5" t="s">
        <v>12</v>
      </c>
      <c r="T6" s="25" t="str">
        <f t="shared" si="2"/>
        <v>غير محدد</v>
      </c>
      <c r="U6" s="5" t="str" cm="1">
        <f t="array" ref="U6">IFERROR(MID(S6,MATCH(TRUE,ISNUMBER(1*MID(S6,ROW($1:$12),1)),0),COUNT(1*MID(S6,ROW($1:$12),1))),"غير محدد")</f>
        <v>غير محدد</v>
      </c>
      <c r="V6" s="5" t="s">
        <v>57</v>
      </c>
      <c r="W6" s="26">
        <f>الشمالي!$K4/الشمالي!$P4</f>
        <v>29.875</v>
      </c>
      <c r="X6" s="22">
        <f t="shared" si="3"/>
        <v>0</v>
      </c>
      <c r="Y6" s="22">
        <f t="shared" si="4"/>
        <v>1.5</v>
      </c>
      <c r="Z6" s="22">
        <f t="shared" si="5"/>
        <v>0.8</v>
      </c>
      <c r="AA6" s="22" t="str">
        <f t="shared" ca="1" si="6"/>
        <v xml:space="preserve">0 </v>
      </c>
      <c r="AB6" s="5"/>
      <c r="AD6" s="5"/>
      <c r="AE6" s="5"/>
      <c r="AJ6" s="5"/>
    </row>
    <row r="7" spans="1:36" ht="22.15" customHeight="1" x14ac:dyDescent="0.2">
      <c r="A7" s="5" t="s">
        <v>189</v>
      </c>
      <c r="B7" s="5" t="s">
        <v>11</v>
      </c>
      <c r="C7" s="6" t="s">
        <v>27</v>
      </c>
      <c r="D7" s="10">
        <v>45572</v>
      </c>
      <c r="F7" s="45" t="str">
        <f t="shared" ca="1" si="0"/>
        <v xml:space="preserve">2  m 9  D </v>
      </c>
      <c r="G7" s="5">
        <v>11446</v>
      </c>
      <c r="H7" s="5">
        <v>75729</v>
      </c>
      <c r="I7" s="22">
        <f t="shared" si="1"/>
        <v>0.15114421159661423</v>
      </c>
      <c r="J7" s="5">
        <v>121</v>
      </c>
      <c r="K7" s="5">
        <v>3689</v>
      </c>
      <c r="L7" s="5">
        <v>2</v>
      </c>
      <c r="M7" s="5">
        <v>5</v>
      </c>
      <c r="N7" s="5">
        <v>0</v>
      </c>
      <c r="O7" s="5">
        <v>5</v>
      </c>
      <c r="P7" s="5">
        <v>352</v>
      </c>
      <c r="Q7" s="5" t="s">
        <v>25</v>
      </c>
      <c r="R7" s="5" t="s">
        <v>190</v>
      </c>
      <c r="S7" s="5" t="s">
        <v>151</v>
      </c>
      <c r="T7" s="25">
        <f t="shared" si="2"/>
        <v>45603</v>
      </c>
      <c r="U7" s="5" t="str" cm="1">
        <f t="array" ref="U7">IFERROR(MID(S7,MATCH(TRUE,ISNUMBER(1*MID(S7,ROW($1:$12),1)),0),COUNT(1*MID(S7,ROW($1:$12),1))),"غير محدد")</f>
        <v>1</v>
      </c>
      <c r="V7" s="5" t="s">
        <v>57</v>
      </c>
      <c r="W7" s="26">
        <f>الشمالي!$K14/الشمالي!$P14</f>
        <v>5.3018181818181818</v>
      </c>
      <c r="X7" s="22">
        <f t="shared" si="3"/>
        <v>0</v>
      </c>
      <c r="Y7" s="22">
        <f t="shared" si="4"/>
        <v>0.4</v>
      </c>
      <c r="Z7" s="22">
        <f t="shared" si="5"/>
        <v>4.1322314049586778E-2</v>
      </c>
      <c r="AA7" s="22" t="str">
        <f t="shared" ca="1" si="6"/>
        <v xml:space="preserve">9   </v>
      </c>
      <c r="AB7" s="5"/>
      <c r="AD7" s="5"/>
      <c r="AE7" s="5"/>
      <c r="AJ7" s="5"/>
    </row>
    <row r="8" spans="1:36" ht="22.15" customHeight="1" x14ac:dyDescent="0.2">
      <c r="A8" s="5" t="s">
        <v>105</v>
      </c>
      <c r="B8" s="5" t="s">
        <v>38</v>
      </c>
      <c r="C8" s="6" t="s">
        <v>27</v>
      </c>
      <c r="D8" s="10">
        <v>45287</v>
      </c>
      <c r="F8" s="45" t="str">
        <f t="shared" ca="1" si="0"/>
        <v xml:space="preserve">11  m 19  D </v>
      </c>
      <c r="G8" s="5">
        <v>24081</v>
      </c>
      <c r="H8" s="5">
        <v>80418</v>
      </c>
      <c r="I8" s="22">
        <f t="shared" si="1"/>
        <v>0.29944788480191004</v>
      </c>
      <c r="J8" s="5">
        <v>44</v>
      </c>
      <c r="K8" s="5">
        <v>3495</v>
      </c>
      <c r="L8" s="5">
        <v>2</v>
      </c>
      <c r="M8" s="5">
        <v>3</v>
      </c>
      <c r="N8" s="5">
        <v>0</v>
      </c>
      <c r="O8" s="5">
        <v>5</v>
      </c>
      <c r="P8" s="5">
        <v>312</v>
      </c>
      <c r="Q8" s="5" t="s">
        <v>10</v>
      </c>
      <c r="R8" s="5" t="s">
        <v>96</v>
      </c>
      <c r="S8" s="5" t="s">
        <v>12</v>
      </c>
      <c r="T8" s="25" t="str">
        <f t="shared" si="2"/>
        <v>غير محدد</v>
      </c>
      <c r="U8" s="5" t="str" cm="1">
        <f t="array" ref="U8">IFERROR(MID(S8,MATCH(TRUE,ISNUMBER(1*MID(S8,ROW($1:$12),1)),0),COUNT(1*MID(S8,ROW($1:$12),1))),"غير محدد")</f>
        <v>غير محدد</v>
      </c>
      <c r="V8" s="5" t="s">
        <v>93</v>
      </c>
      <c r="W8" s="26">
        <f>الشمالي!$K8/الشمالي!$P8</f>
        <v>11.201923076923077</v>
      </c>
      <c r="X8" s="22">
        <f t="shared" si="3"/>
        <v>0</v>
      </c>
      <c r="Y8" s="22">
        <f t="shared" si="4"/>
        <v>0.66666666666666663</v>
      </c>
      <c r="Z8" s="22">
        <f t="shared" si="5"/>
        <v>0.11363636363636363</v>
      </c>
      <c r="AA8" s="22" t="str">
        <f t="shared" ca="1" si="6"/>
        <v xml:space="preserve">0 </v>
      </c>
      <c r="AB8" s="5"/>
      <c r="AD8" s="5"/>
      <c r="AE8" s="5"/>
      <c r="AJ8" s="5"/>
    </row>
    <row r="9" spans="1:36" ht="22.15" customHeight="1" x14ac:dyDescent="0.2">
      <c r="A9" s="5" t="s">
        <v>105</v>
      </c>
      <c r="B9" s="5" t="s">
        <v>38</v>
      </c>
      <c r="C9" s="6" t="s">
        <v>27</v>
      </c>
      <c r="D9" s="10">
        <v>45403</v>
      </c>
      <c r="F9" s="45" t="str">
        <f t="shared" ca="1" si="0"/>
        <v xml:space="preserve">7  m 25  D </v>
      </c>
      <c r="G9" s="5">
        <v>34337</v>
      </c>
      <c r="H9" s="5">
        <v>79291</v>
      </c>
      <c r="I9" s="22">
        <f t="shared" si="1"/>
        <v>0.43305040925199584</v>
      </c>
      <c r="J9" s="5">
        <v>53</v>
      </c>
      <c r="K9" s="5">
        <v>2784</v>
      </c>
      <c r="L9" s="5">
        <v>2</v>
      </c>
      <c r="M9" s="5">
        <v>3</v>
      </c>
      <c r="N9" s="5">
        <v>0</v>
      </c>
      <c r="O9" s="5">
        <v>2</v>
      </c>
      <c r="P9" s="5">
        <v>180</v>
      </c>
      <c r="Q9" s="5" t="s">
        <v>10</v>
      </c>
      <c r="R9" s="5" t="s">
        <v>96</v>
      </c>
      <c r="S9" s="5" t="s">
        <v>151</v>
      </c>
      <c r="T9" s="25">
        <f t="shared" si="2"/>
        <v>45433</v>
      </c>
      <c r="U9" s="5" t="str" cm="1">
        <f t="array" ref="U9">IFERROR(MID(S9,MATCH(TRUE,ISNUMBER(1*MID(S9,ROW($1:$12),1)),0),COUNT(1*MID(S9,ROW($1:$12),1))),"غير محدد")</f>
        <v>1</v>
      </c>
      <c r="V9" s="5" t="s">
        <v>57</v>
      </c>
      <c r="W9" s="26">
        <f>الشمالي!$K9/الشمالي!$P9</f>
        <v>15.466666666666667</v>
      </c>
      <c r="X9" s="22">
        <f t="shared" si="3"/>
        <v>0</v>
      </c>
      <c r="Y9" s="22">
        <f t="shared" si="4"/>
        <v>0.66666666666666663</v>
      </c>
      <c r="Z9" s="22">
        <f t="shared" si="5"/>
        <v>3.7735849056603772E-2</v>
      </c>
      <c r="AA9" s="22" t="str">
        <f t="shared" ca="1" si="6"/>
        <v xml:space="preserve">25   </v>
      </c>
      <c r="AB9" s="5"/>
      <c r="AD9" s="5"/>
      <c r="AE9" s="5"/>
      <c r="AJ9" s="5"/>
    </row>
    <row r="10" spans="1:36" ht="22.15" customHeight="1" x14ac:dyDescent="0.2">
      <c r="A10" s="5" t="s">
        <v>105</v>
      </c>
      <c r="B10" s="5" t="s">
        <v>38</v>
      </c>
      <c r="C10" s="6" t="s">
        <v>27</v>
      </c>
      <c r="D10" s="10">
        <v>45544</v>
      </c>
      <c r="F10" s="45" t="str">
        <f t="shared" ca="1" si="0"/>
        <v xml:space="preserve">3  m 7  D </v>
      </c>
      <c r="G10" s="5">
        <v>2710</v>
      </c>
      <c r="H10" s="5">
        <v>103123</v>
      </c>
      <c r="I10" s="22">
        <f t="shared" si="1"/>
        <v>2.6279297537891644E-2</v>
      </c>
      <c r="J10" s="5">
        <v>95</v>
      </c>
      <c r="K10" s="5">
        <v>3464</v>
      </c>
      <c r="L10" s="5">
        <v>6</v>
      </c>
      <c r="M10" s="5">
        <v>6</v>
      </c>
      <c r="N10" s="5">
        <v>0</v>
      </c>
      <c r="O10" s="5">
        <v>3</v>
      </c>
      <c r="P10" s="5">
        <v>730</v>
      </c>
      <c r="Q10" s="5" t="s">
        <v>10</v>
      </c>
      <c r="R10" s="5" t="s">
        <v>96</v>
      </c>
      <c r="S10" s="5" t="s">
        <v>151</v>
      </c>
      <c r="T10" s="25">
        <f t="shared" si="2"/>
        <v>45574</v>
      </c>
      <c r="U10" s="5" t="str" cm="1">
        <f t="array" ref="U10">IFERROR(MID(S10,MATCH(TRUE,ISNUMBER(1*MID(S10,ROW($1:$12),1)),0),COUNT(1*MID(S10,ROW($1:$12),1))),"غير محدد")</f>
        <v>1</v>
      </c>
      <c r="V10" s="5" t="s">
        <v>57</v>
      </c>
      <c r="W10" s="26">
        <f>الشمالي!$K10/الشمالي!$P10</f>
        <v>4.7452054794520544</v>
      </c>
      <c r="X10" s="22">
        <f t="shared" si="3"/>
        <v>0</v>
      </c>
      <c r="Y10" s="22">
        <f t="shared" si="4"/>
        <v>1</v>
      </c>
      <c r="Z10" s="22">
        <f t="shared" si="5"/>
        <v>3.1578947368421054E-2</v>
      </c>
      <c r="AA10" s="22" t="str">
        <f t="shared" ca="1" si="6"/>
        <v xml:space="preserve">7   </v>
      </c>
      <c r="AB10" s="5"/>
      <c r="AD10" s="5"/>
      <c r="AE10" s="5"/>
      <c r="AJ10" s="5"/>
    </row>
    <row r="11" spans="1:36" ht="22.15" customHeight="1" x14ac:dyDescent="0.2">
      <c r="A11" s="5" t="s">
        <v>105</v>
      </c>
      <c r="B11" s="5" t="s">
        <v>39</v>
      </c>
      <c r="C11" s="6" t="s">
        <v>27</v>
      </c>
      <c r="D11" s="10">
        <v>45179</v>
      </c>
      <c r="F11" s="45" t="str">
        <f t="shared" ca="1" si="0"/>
        <v xml:space="preserve">3  m 6  D </v>
      </c>
      <c r="G11" s="5">
        <v>40544</v>
      </c>
      <c r="H11" s="5">
        <v>102294</v>
      </c>
      <c r="I11" s="22">
        <f t="shared" si="1"/>
        <v>0.39634778188359043</v>
      </c>
      <c r="J11" s="5">
        <v>44</v>
      </c>
      <c r="K11" s="5">
        <v>888</v>
      </c>
      <c r="L11" s="5">
        <v>3</v>
      </c>
      <c r="M11" s="5">
        <v>2</v>
      </c>
      <c r="N11" s="5">
        <v>0</v>
      </c>
      <c r="O11" s="5">
        <v>1</v>
      </c>
      <c r="P11" s="5">
        <v>52</v>
      </c>
      <c r="Q11" s="5" t="s">
        <v>10</v>
      </c>
      <c r="R11" s="5" t="s">
        <v>96</v>
      </c>
      <c r="S11" s="5" t="s">
        <v>12</v>
      </c>
      <c r="T11" s="25" t="str">
        <f t="shared" si="2"/>
        <v>غير محدد</v>
      </c>
      <c r="U11" s="5" t="str" cm="1">
        <f t="array" ref="U11">IFERROR(MID(S11,MATCH(TRUE,ISNUMBER(1*MID(S11,ROW($1:$12),1)),0),COUNT(1*MID(S11,ROW($1:$12),1))),"غير محدد")</f>
        <v>غير محدد</v>
      </c>
      <c r="V11" s="5" t="s">
        <v>93</v>
      </c>
      <c r="W11" s="26">
        <f>الشمالي!$K11/الشمالي!$P11</f>
        <v>17.076923076923077</v>
      </c>
      <c r="X11" s="22">
        <f t="shared" si="3"/>
        <v>0</v>
      </c>
      <c r="Y11" s="22">
        <f t="shared" si="4"/>
        <v>1.5</v>
      </c>
      <c r="Z11" s="22">
        <f t="shared" si="5"/>
        <v>2.2727272727272728E-2</v>
      </c>
      <c r="AA11" s="22" t="str">
        <f t="shared" ca="1" si="6"/>
        <v xml:space="preserve">0 </v>
      </c>
      <c r="AB11" s="5"/>
      <c r="AD11" s="5"/>
      <c r="AE11" s="5"/>
      <c r="AJ11" s="5"/>
    </row>
    <row r="12" spans="1:36" ht="22.15" customHeight="1" x14ac:dyDescent="0.2">
      <c r="A12" s="5" t="s">
        <v>105</v>
      </c>
      <c r="B12" s="5" t="s">
        <v>39</v>
      </c>
      <c r="C12" s="6" t="s">
        <v>27</v>
      </c>
      <c r="D12" s="10">
        <v>45287</v>
      </c>
      <c r="F12" s="45" t="str">
        <f t="shared" ca="1" si="0"/>
        <v xml:space="preserve">11  m 19  D </v>
      </c>
      <c r="G12" s="5">
        <v>32205</v>
      </c>
      <c r="H12" s="5">
        <v>71389</v>
      </c>
      <c r="I12" s="22">
        <f t="shared" si="1"/>
        <v>0.45111992043592147</v>
      </c>
      <c r="J12" s="5">
        <v>48</v>
      </c>
      <c r="K12" s="5">
        <v>1556</v>
      </c>
      <c r="L12" s="5">
        <v>3</v>
      </c>
      <c r="M12" s="5">
        <v>1</v>
      </c>
      <c r="N12" s="5">
        <v>0</v>
      </c>
      <c r="O12" s="5">
        <v>3</v>
      </c>
      <c r="P12" s="5">
        <v>179</v>
      </c>
      <c r="Q12" s="5" t="s">
        <v>25</v>
      </c>
      <c r="R12" s="5" t="s">
        <v>90</v>
      </c>
      <c r="S12" s="5" t="s">
        <v>12</v>
      </c>
      <c r="T12" s="25" t="str">
        <f t="shared" si="2"/>
        <v>غير محدد</v>
      </c>
      <c r="U12" s="5" t="str" cm="1">
        <f t="array" ref="U12">IFERROR(MID(S12,MATCH(TRUE,ISNUMBER(1*MID(S12,ROW($1:$12),1)),0),COUNT(1*MID(S12,ROW($1:$12),1))),"غير محدد")</f>
        <v>غير محدد</v>
      </c>
      <c r="V12" s="5" t="s">
        <v>93</v>
      </c>
      <c r="W12" s="26">
        <f>الشمالي!$K12/الشمالي!$P12</f>
        <v>8.6927374301675986</v>
      </c>
      <c r="X12" s="22">
        <f t="shared" si="3"/>
        <v>0</v>
      </c>
      <c r="Y12" s="22">
        <f t="shared" si="4"/>
        <v>3</v>
      </c>
      <c r="Z12" s="22">
        <f t="shared" si="5"/>
        <v>6.25E-2</v>
      </c>
      <c r="AA12" s="22" t="str">
        <f t="shared" ca="1" si="6"/>
        <v xml:space="preserve">0 </v>
      </c>
      <c r="AB12" s="5"/>
      <c r="AD12" s="5"/>
      <c r="AE12" s="5"/>
      <c r="AJ12" s="5"/>
    </row>
    <row r="13" spans="1:36" ht="22.15" customHeight="1" x14ac:dyDescent="0.2">
      <c r="A13" s="5" t="s">
        <v>105</v>
      </c>
      <c r="B13" s="5" t="s">
        <v>39</v>
      </c>
      <c r="C13" s="6" t="s">
        <v>27</v>
      </c>
      <c r="D13" s="10">
        <v>45403</v>
      </c>
      <c r="F13" s="45" t="str">
        <f t="shared" ca="1" si="0"/>
        <v xml:space="preserve">7  m 25  D </v>
      </c>
      <c r="G13" s="5">
        <v>48658</v>
      </c>
      <c r="H13" s="5">
        <v>69315</v>
      </c>
      <c r="I13" s="22">
        <f t="shared" si="1"/>
        <v>0.70198369761234947</v>
      </c>
      <c r="J13" s="5">
        <v>43</v>
      </c>
      <c r="K13" s="5">
        <v>1285</v>
      </c>
      <c r="L13" s="5">
        <v>1</v>
      </c>
      <c r="M13" s="5">
        <v>1</v>
      </c>
      <c r="N13" s="5">
        <v>0</v>
      </c>
      <c r="O13" s="5">
        <v>2</v>
      </c>
      <c r="P13" s="5">
        <v>91</v>
      </c>
      <c r="Q13" s="5" t="s">
        <v>25</v>
      </c>
      <c r="R13" s="5" t="s">
        <v>90</v>
      </c>
      <c r="S13" s="5" t="s">
        <v>151</v>
      </c>
      <c r="T13" s="25">
        <f t="shared" si="2"/>
        <v>45433</v>
      </c>
      <c r="U13" s="5" t="str" cm="1">
        <f t="array" ref="U13">IFERROR(MID(S13,MATCH(TRUE,ISNUMBER(1*MID(S13,ROW($1:$12),1)),0),COUNT(1*MID(S13,ROW($1:$12),1))),"غير محدد")</f>
        <v>1</v>
      </c>
      <c r="V13" s="5" t="s">
        <v>57</v>
      </c>
      <c r="W13" s="26">
        <f>الشمالي!$K13/الشمالي!$P13</f>
        <v>14.12087912087912</v>
      </c>
      <c r="X13" s="22">
        <f t="shared" si="3"/>
        <v>0</v>
      </c>
      <c r="Y13" s="22">
        <f t="shared" si="4"/>
        <v>1</v>
      </c>
      <c r="Z13" s="22">
        <f t="shared" si="5"/>
        <v>4.6511627906976744E-2</v>
      </c>
      <c r="AA13" s="22" t="str">
        <f t="shared" ca="1" si="6"/>
        <v xml:space="preserve">25   </v>
      </c>
      <c r="AB13" s="5"/>
      <c r="AD13" s="5"/>
      <c r="AE13" s="5"/>
      <c r="AJ13" s="5"/>
    </row>
    <row r="14" spans="1:36" ht="22.15" customHeight="1" x14ac:dyDescent="0.2">
      <c r="A14" s="5" t="s">
        <v>0</v>
      </c>
      <c r="B14" s="5" t="s">
        <v>50</v>
      </c>
      <c r="C14" s="6" t="s">
        <v>28</v>
      </c>
      <c r="D14" s="10">
        <v>44973</v>
      </c>
      <c r="F14" s="45" t="str">
        <f t="shared" ca="1" si="0"/>
        <v xml:space="preserve">10  m 0  D </v>
      </c>
      <c r="G14" s="5">
        <v>1806</v>
      </c>
      <c r="H14" s="5">
        <v>65468</v>
      </c>
      <c r="I14" s="22">
        <f t="shared" si="1"/>
        <v>2.7585996211889778E-2</v>
      </c>
      <c r="J14" s="5">
        <v>183</v>
      </c>
      <c r="K14" s="5">
        <v>2916</v>
      </c>
      <c r="L14" s="5">
        <v>5</v>
      </c>
      <c r="M14" s="5">
        <v>9</v>
      </c>
      <c r="N14" s="5">
        <v>0</v>
      </c>
      <c r="O14" s="5">
        <v>26</v>
      </c>
      <c r="P14" s="5">
        <v>550</v>
      </c>
      <c r="Q14" s="5" t="s">
        <v>11</v>
      </c>
      <c r="R14" s="5">
        <v>2</v>
      </c>
      <c r="S14" s="5" t="s">
        <v>12</v>
      </c>
      <c r="T14" s="25" t="str">
        <f t="shared" si="2"/>
        <v>غير محدد</v>
      </c>
      <c r="U14" s="5" t="str" cm="1">
        <f t="array" ref="U14">IFERROR(MID(S14,MATCH(TRUE,ISNUMBER(1*MID(S14,ROW($1:$12),1)),0),COUNT(1*MID(S14,ROW($1:$12),1))),"غير محدد")</f>
        <v>غير محدد</v>
      </c>
      <c r="V14" s="5" t="s">
        <v>93</v>
      </c>
      <c r="W14" s="26">
        <f>الشمالي!$K15/الشمالي!$P15</f>
        <v>6.887417218543046</v>
      </c>
      <c r="X14" s="22">
        <f t="shared" si="3"/>
        <v>0</v>
      </c>
      <c r="Y14" s="22">
        <f t="shared" si="4"/>
        <v>0.55555555555555558</v>
      </c>
      <c r="Z14" s="22">
        <f t="shared" si="5"/>
        <v>0.14207650273224043</v>
      </c>
      <c r="AA14" s="22" t="str">
        <f t="shared" ca="1" si="6"/>
        <v xml:space="preserve">0 </v>
      </c>
      <c r="AB14" s="5"/>
      <c r="AD14" s="5"/>
      <c r="AE14" s="5"/>
      <c r="AJ14" s="5"/>
    </row>
    <row r="15" spans="1:36" ht="22.15" customHeight="1" x14ac:dyDescent="0.2">
      <c r="A15" s="5" t="s">
        <v>0</v>
      </c>
      <c r="B15" s="5" t="s">
        <v>50</v>
      </c>
      <c r="C15" s="6" t="s">
        <v>28</v>
      </c>
      <c r="D15" s="10">
        <v>45013</v>
      </c>
      <c r="F15" s="45" t="str">
        <f t="shared" ca="1" si="0"/>
        <v xml:space="preserve">8  m 18  D </v>
      </c>
      <c r="G15" s="5">
        <v>4938</v>
      </c>
      <c r="H15" s="5">
        <v>48706</v>
      </c>
      <c r="I15" s="22">
        <f t="shared" si="1"/>
        <v>0.1013838130825771</v>
      </c>
      <c r="J15" s="5">
        <v>28</v>
      </c>
      <c r="K15" s="5">
        <v>1040</v>
      </c>
      <c r="L15" s="5">
        <v>3</v>
      </c>
      <c r="M15" s="5">
        <v>3</v>
      </c>
      <c r="N15" s="5">
        <v>0</v>
      </c>
      <c r="O15" s="5">
        <v>1</v>
      </c>
      <c r="P15" s="5">
        <v>151</v>
      </c>
      <c r="Q15" s="5" t="s">
        <v>21</v>
      </c>
      <c r="R15" s="5">
        <v>1</v>
      </c>
      <c r="S15" s="5" t="s">
        <v>22</v>
      </c>
      <c r="T15" s="25" t="str">
        <f t="shared" si="2"/>
        <v>غير محدد</v>
      </c>
      <c r="U15" s="5" t="str" cm="1">
        <f t="array" ref="U15">IFERROR(MID(S15,MATCH(TRUE,ISNUMBER(1*MID(S15,ROW($1:$12),1)),0),COUNT(1*MID(S15,ROW($1:$12),1))),"غير محدد")</f>
        <v>غير محدد</v>
      </c>
      <c r="V15" s="5" t="s">
        <v>93</v>
      </c>
      <c r="W15" s="26">
        <f>الشمالي!$K16/الشمالي!$P16</f>
        <v>10.830131445904955</v>
      </c>
      <c r="X15" s="22">
        <f t="shared" si="3"/>
        <v>0</v>
      </c>
      <c r="Y15" s="22">
        <f t="shared" si="4"/>
        <v>1</v>
      </c>
      <c r="Z15" s="22">
        <f t="shared" si="5"/>
        <v>3.5714285714285712E-2</v>
      </c>
      <c r="AA15" s="22" t="str">
        <f t="shared" ca="1" si="6"/>
        <v xml:space="preserve">0 </v>
      </c>
      <c r="AB15" s="5"/>
      <c r="AD15" s="5"/>
      <c r="AE15" s="5"/>
      <c r="AJ15" s="5"/>
    </row>
    <row r="16" spans="1:36" ht="22.15" customHeight="1" x14ac:dyDescent="0.2">
      <c r="A16" s="5" t="s">
        <v>0</v>
      </c>
      <c r="B16" s="5" t="s">
        <v>154</v>
      </c>
      <c r="C16" s="6" t="s">
        <v>28</v>
      </c>
      <c r="D16" s="10">
        <v>45342</v>
      </c>
      <c r="F16" s="45" t="str">
        <f t="shared" ca="1" si="0"/>
        <v xml:space="preserve">9  m 26  D </v>
      </c>
      <c r="G16" s="5">
        <v>27737</v>
      </c>
      <c r="H16" s="5">
        <v>103148</v>
      </c>
      <c r="I16" s="22">
        <f t="shared" si="1"/>
        <v>0.26890487454919143</v>
      </c>
      <c r="J16" s="5">
        <v>10</v>
      </c>
      <c r="K16" s="5">
        <v>10711</v>
      </c>
      <c r="L16" s="5">
        <v>12</v>
      </c>
      <c r="M16" s="5">
        <v>1</v>
      </c>
      <c r="N16" s="5">
        <v>0</v>
      </c>
      <c r="O16" s="5">
        <v>3</v>
      </c>
      <c r="P16" s="5">
        <v>989</v>
      </c>
      <c r="Q16" s="5" t="s">
        <v>10</v>
      </c>
      <c r="R16" s="5" t="s">
        <v>90</v>
      </c>
      <c r="S16" s="5" t="s">
        <v>153</v>
      </c>
      <c r="T16" s="25">
        <f t="shared" si="2"/>
        <v>45432</v>
      </c>
      <c r="U16" s="5" t="str" cm="1">
        <f t="array" ref="U16">IFERROR(MID(S16,MATCH(TRUE,ISNUMBER(1*MID(S16,ROW($1:$12),1)),0),COUNT(1*MID(S16,ROW($1:$12),1))),"غير محدد")</f>
        <v>3</v>
      </c>
      <c r="V16" s="5" t="s">
        <v>57</v>
      </c>
      <c r="W16" s="26">
        <f>الشمالي!$K17/الشمالي!$P17</f>
        <v>14.14453781512605</v>
      </c>
      <c r="X16" s="22">
        <f t="shared" si="3"/>
        <v>0</v>
      </c>
      <c r="Y16" s="22">
        <f t="shared" si="4"/>
        <v>12</v>
      </c>
      <c r="Z16" s="22">
        <f t="shared" si="5"/>
        <v>0.3</v>
      </c>
      <c r="AA16" s="22" t="str">
        <f t="shared" ca="1" si="6"/>
        <v xml:space="preserve">26   </v>
      </c>
      <c r="AB16" s="5"/>
      <c r="AD16" s="5"/>
      <c r="AE16" s="5"/>
      <c r="AJ16" s="5"/>
    </row>
    <row r="17" spans="1:36" ht="22.15" customHeight="1" x14ac:dyDescent="0.2">
      <c r="A17" s="5" t="s">
        <v>0</v>
      </c>
      <c r="B17" s="5" t="s">
        <v>48</v>
      </c>
      <c r="C17" s="6" t="s">
        <v>28</v>
      </c>
      <c r="D17" s="10">
        <v>44973</v>
      </c>
      <c r="F17" s="45" t="str">
        <f t="shared" ca="1" si="0"/>
        <v xml:space="preserve">10  m 0  D </v>
      </c>
      <c r="G17" s="5">
        <v>1116</v>
      </c>
      <c r="H17" s="5">
        <v>59966</v>
      </c>
      <c r="I17" s="22">
        <f t="shared" si="1"/>
        <v>1.8610545976053095E-2</v>
      </c>
      <c r="J17" s="5">
        <v>119</v>
      </c>
      <c r="K17" s="5">
        <v>8416</v>
      </c>
      <c r="L17" s="5">
        <v>14</v>
      </c>
      <c r="M17" s="5">
        <v>5</v>
      </c>
      <c r="N17" s="5">
        <v>0</v>
      </c>
      <c r="O17" s="5">
        <v>13</v>
      </c>
      <c r="P17" s="5">
        <v>595</v>
      </c>
      <c r="Q17" s="5" t="s">
        <v>13</v>
      </c>
      <c r="R17" s="5">
        <v>2</v>
      </c>
      <c r="S17" s="5" t="s">
        <v>12</v>
      </c>
      <c r="T17" s="25" t="str">
        <f t="shared" si="2"/>
        <v>غير محدد</v>
      </c>
      <c r="U17" s="5" t="str" cm="1">
        <f t="array" ref="U17">IFERROR(MID(S17,MATCH(TRUE,ISNUMBER(1*MID(S17,ROW($1:$12),1)),0),COUNT(1*MID(S17,ROW($1:$12),1))),"غير محدد")</f>
        <v>غير محدد</v>
      </c>
      <c r="V17" s="5" t="s">
        <v>93</v>
      </c>
      <c r="W17" s="26">
        <f>الشمالي!$K18/الشمالي!$P18</f>
        <v>11.282758620689656</v>
      </c>
      <c r="X17" s="22">
        <f t="shared" si="3"/>
        <v>0</v>
      </c>
      <c r="Y17" s="22">
        <f t="shared" si="4"/>
        <v>2.8</v>
      </c>
      <c r="Z17" s="22">
        <f t="shared" si="5"/>
        <v>0.1092436974789916</v>
      </c>
      <c r="AA17" s="22" t="str">
        <f t="shared" ca="1" si="6"/>
        <v xml:space="preserve">0 </v>
      </c>
      <c r="AB17" s="5"/>
      <c r="AD17" s="5"/>
      <c r="AE17" s="5"/>
      <c r="AJ17" s="5"/>
    </row>
    <row r="18" spans="1:36" ht="22.15" customHeight="1" x14ac:dyDescent="0.2">
      <c r="A18" s="5" t="s">
        <v>0</v>
      </c>
      <c r="B18" s="5" t="s">
        <v>48</v>
      </c>
      <c r="C18" s="6" t="s">
        <v>28</v>
      </c>
      <c r="D18" s="10">
        <v>45013</v>
      </c>
      <c r="F18" s="45" t="str">
        <f t="shared" ca="1" si="0"/>
        <v xml:space="preserve">8  m 18  D </v>
      </c>
      <c r="G18" s="5">
        <v>2471</v>
      </c>
      <c r="H18" s="5">
        <v>42343</v>
      </c>
      <c r="I18" s="22">
        <f t="shared" si="1"/>
        <v>5.8356753182344186E-2</v>
      </c>
      <c r="J18" s="5">
        <v>11</v>
      </c>
      <c r="K18" s="5">
        <v>1636</v>
      </c>
      <c r="L18" s="5">
        <v>2</v>
      </c>
      <c r="M18" s="5">
        <v>20</v>
      </c>
      <c r="N18" s="5">
        <v>0</v>
      </c>
      <c r="O18" s="5">
        <v>1</v>
      </c>
      <c r="P18" s="5">
        <v>145</v>
      </c>
      <c r="Q18" s="5" t="s">
        <v>21</v>
      </c>
      <c r="R18" s="5">
        <v>1</v>
      </c>
      <c r="S18" s="5" t="s">
        <v>22</v>
      </c>
      <c r="T18" s="25" t="str">
        <f t="shared" si="2"/>
        <v>غير محدد</v>
      </c>
      <c r="U18" s="5" t="str" cm="1">
        <f t="array" ref="U18">IFERROR(MID(S18,MATCH(TRUE,ISNUMBER(1*MID(S18,ROW($1:$12),1)),0),COUNT(1*MID(S18,ROW($1:$12),1))),"غير محدد")</f>
        <v>غير محدد</v>
      </c>
      <c r="V18" s="5" t="s">
        <v>93</v>
      </c>
      <c r="W18" s="26">
        <f>الشمالي!$K19/الشمالي!$P19</f>
        <v>10.151219512195121</v>
      </c>
      <c r="X18" s="22">
        <f t="shared" si="3"/>
        <v>0</v>
      </c>
      <c r="Y18" s="22">
        <f t="shared" si="4"/>
        <v>0.1</v>
      </c>
      <c r="Z18" s="22">
        <f t="shared" si="5"/>
        <v>9.0909090909090912E-2</v>
      </c>
      <c r="AA18" s="22" t="str">
        <f t="shared" ca="1" si="6"/>
        <v xml:space="preserve">0 </v>
      </c>
      <c r="AB18" s="5"/>
      <c r="AD18" s="5"/>
      <c r="AE18" s="5"/>
      <c r="AJ18" s="5"/>
    </row>
    <row r="19" spans="1:36" ht="22.15" customHeight="1" x14ac:dyDescent="0.2">
      <c r="A19" s="5" t="s">
        <v>0</v>
      </c>
      <c r="B19" s="5" t="s">
        <v>48</v>
      </c>
      <c r="C19" s="6" t="s">
        <v>28</v>
      </c>
      <c r="D19" s="10">
        <v>45342</v>
      </c>
      <c r="F19" s="45" t="str">
        <f t="shared" ca="1" si="0"/>
        <v xml:space="preserve">9  m 26  D </v>
      </c>
      <c r="G19" s="5">
        <v>13209</v>
      </c>
      <c r="H19" s="5">
        <v>63536</v>
      </c>
      <c r="I19" s="22">
        <f t="shared" si="1"/>
        <v>0.20789788466381265</v>
      </c>
      <c r="J19" s="5">
        <v>11</v>
      </c>
      <c r="K19" s="5">
        <v>6243</v>
      </c>
      <c r="L19" s="5">
        <v>2</v>
      </c>
      <c r="M19" s="5">
        <v>10</v>
      </c>
      <c r="N19" s="5">
        <v>0</v>
      </c>
      <c r="O19" s="5">
        <v>13</v>
      </c>
      <c r="P19" s="5">
        <v>615</v>
      </c>
      <c r="Q19" s="5" t="s">
        <v>11</v>
      </c>
      <c r="R19" s="5" t="s">
        <v>90</v>
      </c>
      <c r="S19" s="5" t="s">
        <v>153</v>
      </c>
      <c r="T19" s="25">
        <f t="shared" si="2"/>
        <v>45432</v>
      </c>
      <c r="U19" s="5" t="str" cm="1">
        <f t="array" ref="U19">IFERROR(MID(S19,MATCH(TRUE,ISNUMBER(1*MID(S19,ROW($1:$12),1)),0),COUNT(1*MID(S19,ROW($1:$12),1))),"غير محدد")</f>
        <v>3</v>
      </c>
      <c r="V19" s="5" t="s">
        <v>93</v>
      </c>
      <c r="W19" s="26">
        <f>الشمالي!$K21/الشمالي!$P21</f>
        <v>3.7647058823529411</v>
      </c>
      <c r="X19" s="22">
        <f t="shared" si="3"/>
        <v>0</v>
      </c>
      <c r="Y19" s="22">
        <f t="shared" si="4"/>
        <v>0.2</v>
      </c>
      <c r="Z19" s="22">
        <f t="shared" si="5"/>
        <v>1.1818181818181819</v>
      </c>
      <c r="AA19" s="22" t="str">
        <f t="shared" ca="1" si="6"/>
        <v xml:space="preserve">26   </v>
      </c>
      <c r="AB19" s="5"/>
      <c r="AD19" s="5"/>
      <c r="AE19" s="5"/>
      <c r="AJ19" s="5"/>
    </row>
    <row r="20" spans="1:36" ht="22.15" customHeight="1" x14ac:dyDescent="0.2">
      <c r="A20" s="5" t="s">
        <v>0</v>
      </c>
      <c r="B20" s="5" t="s">
        <v>48</v>
      </c>
      <c r="C20" s="6" t="s">
        <v>28</v>
      </c>
      <c r="D20" s="10">
        <v>45882</v>
      </c>
      <c r="E20" s="33">
        <v>45924</v>
      </c>
      <c r="F20" s="45" t="str">
        <f t="shared" ca="1" si="0"/>
        <v xml:space="preserve">4  m 3  D </v>
      </c>
      <c r="G20" s="5">
        <v>10651</v>
      </c>
      <c r="H20" s="5">
        <v>132059</v>
      </c>
      <c r="I20" s="22">
        <f t="shared" ref="I20" si="7">G20/H20</f>
        <v>8.0653344338515356E-2</v>
      </c>
      <c r="J20" s="5">
        <v>38</v>
      </c>
      <c r="K20" s="5">
        <v>14806</v>
      </c>
      <c r="L20" s="5">
        <v>191</v>
      </c>
      <c r="M20" s="5">
        <v>114</v>
      </c>
      <c r="N20" s="5">
        <v>0</v>
      </c>
      <c r="O20" s="5">
        <v>35</v>
      </c>
      <c r="P20" s="5">
        <v>792</v>
      </c>
      <c r="Q20" s="5" t="s">
        <v>13</v>
      </c>
      <c r="R20" s="5" t="s">
        <v>90</v>
      </c>
      <c r="S20" s="5" t="s">
        <v>153</v>
      </c>
      <c r="T20" s="25">
        <f t="shared" si="2"/>
        <v>45974</v>
      </c>
      <c r="U20" s="5" t="str" cm="1">
        <f t="array" ref="U20">IFERROR(MID(S20,MATCH(TRUE,ISNUMBER(1*MID(S20,ROW($1:$12),1)),0),COUNT(1*MID(S20,ROW($1:$12),1))),"غير محدد")</f>
        <v>3</v>
      </c>
      <c r="V20" s="5" t="s">
        <v>57</v>
      </c>
      <c r="W20" s="26">
        <f>الشمالي!$K22/الشمالي!$P22</f>
        <v>5.0090497737556561</v>
      </c>
      <c r="X20" s="22">
        <f t="shared" ref="X20" si="8">N20/L20</f>
        <v>0</v>
      </c>
      <c r="Y20" s="22">
        <f t="shared" ref="Y20" si="9">L20/M20</f>
        <v>1.6754385964912282</v>
      </c>
      <c r="Z20" s="22">
        <f t="shared" ref="Z20" si="10">O20/J20</f>
        <v>0.92105263157894735</v>
      </c>
      <c r="AA20" s="22" t="str">
        <f t="shared" ref="AA20" ca="1" si="11">IFERROR(DATEDIF(T20,TODAY(),"MD") &amp; "   ","0 ")</f>
        <v xml:space="preserve">3   </v>
      </c>
      <c r="AB20" s="5"/>
      <c r="AD20" s="5"/>
      <c r="AE20" s="5"/>
      <c r="AJ20" s="5"/>
    </row>
    <row r="21" spans="1:36" ht="22.15" customHeight="1" x14ac:dyDescent="0.2">
      <c r="A21" s="5" t="s">
        <v>0</v>
      </c>
      <c r="B21" s="5" t="s">
        <v>49</v>
      </c>
      <c r="C21" s="6" t="s">
        <v>28</v>
      </c>
      <c r="D21" s="10">
        <v>44973</v>
      </c>
      <c r="F21" s="45" t="str">
        <f t="shared" ca="1" si="0"/>
        <v xml:space="preserve">10  m 0  D </v>
      </c>
      <c r="G21" s="5">
        <v>3540</v>
      </c>
      <c r="H21" s="5">
        <v>64138</v>
      </c>
      <c r="I21" s="22">
        <f t="shared" si="1"/>
        <v>5.5193489039259094E-2</v>
      </c>
      <c r="J21" s="5">
        <v>494</v>
      </c>
      <c r="K21" s="5">
        <v>2048</v>
      </c>
      <c r="L21" s="5">
        <v>5</v>
      </c>
      <c r="M21" s="5">
        <v>9</v>
      </c>
      <c r="N21" s="5">
        <v>0</v>
      </c>
      <c r="O21" s="5">
        <v>43</v>
      </c>
      <c r="P21" s="5">
        <v>544</v>
      </c>
      <c r="Q21" s="5" t="s">
        <v>11</v>
      </c>
      <c r="R21" s="5">
        <v>2</v>
      </c>
      <c r="S21" s="5" t="s">
        <v>12</v>
      </c>
      <c r="T21" s="25" t="str">
        <f t="shared" si="2"/>
        <v>غير محدد</v>
      </c>
      <c r="U21" s="5" t="str" cm="1">
        <f t="array" ref="U21">IFERROR(MID(S21,MATCH(TRUE,ISNUMBER(1*MID(S21,ROW($1:$12),1)),0),COUNT(1*MID(S21,ROW($1:$12),1))),"غير محدد")</f>
        <v>غير محدد</v>
      </c>
      <c r="V21" s="5" t="s">
        <v>93</v>
      </c>
      <c r="W21" s="26">
        <f>الشمالي!$K22/الشمالي!$P22</f>
        <v>5.0090497737556561</v>
      </c>
      <c r="X21" s="22">
        <f t="shared" si="3"/>
        <v>0</v>
      </c>
      <c r="Y21" s="22">
        <f t="shared" si="4"/>
        <v>0.55555555555555558</v>
      </c>
      <c r="Z21" s="22">
        <f t="shared" si="5"/>
        <v>8.7044534412955468E-2</v>
      </c>
      <c r="AA21" s="22" t="str">
        <f t="shared" ca="1" si="6"/>
        <v xml:space="preserve">0 </v>
      </c>
      <c r="AB21" s="5"/>
      <c r="AD21" s="5"/>
      <c r="AE21" s="5"/>
      <c r="AJ21" s="5"/>
    </row>
    <row r="22" spans="1:36" ht="22.15" customHeight="1" x14ac:dyDescent="0.2">
      <c r="A22" s="5" t="s">
        <v>0</v>
      </c>
      <c r="B22" s="5" t="s">
        <v>49</v>
      </c>
      <c r="C22" s="6" t="s">
        <v>28</v>
      </c>
      <c r="D22" s="10">
        <v>45013</v>
      </c>
      <c r="F22" s="45" t="str">
        <f t="shared" ca="1" si="0"/>
        <v xml:space="preserve">8  m 18  D </v>
      </c>
      <c r="G22" s="5">
        <v>2204</v>
      </c>
      <c r="H22" s="5">
        <v>31371</v>
      </c>
      <c r="I22" s="22">
        <f t="shared" si="1"/>
        <v>7.0255968888463874E-2</v>
      </c>
      <c r="J22" s="5">
        <v>74</v>
      </c>
      <c r="K22" s="5">
        <v>1107</v>
      </c>
      <c r="L22" s="5">
        <v>3</v>
      </c>
      <c r="M22" s="5">
        <v>7</v>
      </c>
      <c r="N22" s="5">
        <v>0</v>
      </c>
      <c r="O22" s="5">
        <v>4</v>
      </c>
      <c r="P22" s="5">
        <v>221</v>
      </c>
      <c r="Q22" s="5" t="s">
        <v>21</v>
      </c>
      <c r="R22" s="5">
        <v>1</v>
      </c>
      <c r="S22" s="5" t="s">
        <v>22</v>
      </c>
      <c r="T22" s="25" t="str">
        <f t="shared" si="2"/>
        <v>غير محدد</v>
      </c>
      <c r="U22" s="5" t="str" cm="1">
        <f t="array" ref="U22">IFERROR(MID(S22,MATCH(TRUE,ISNUMBER(1*MID(S22,ROW($1:$12),1)),0),COUNT(1*MID(S22,ROW($1:$12),1))),"غير محدد")</f>
        <v>غير محدد</v>
      </c>
      <c r="V22" s="5" t="s">
        <v>93</v>
      </c>
      <c r="W22" s="26">
        <f>الشمالي!$K23/الشمالي!$P23</f>
        <v>5.6191222570532915</v>
      </c>
      <c r="X22" s="22">
        <f t="shared" si="3"/>
        <v>0</v>
      </c>
      <c r="Y22" s="22">
        <f t="shared" si="4"/>
        <v>0.42857142857142855</v>
      </c>
      <c r="Z22" s="22">
        <f t="shared" si="5"/>
        <v>5.4054054054054057E-2</v>
      </c>
      <c r="AA22" s="22" t="str">
        <f t="shared" ca="1" si="6"/>
        <v xml:space="preserve">0 </v>
      </c>
      <c r="AB22" s="5"/>
      <c r="AD22" s="5"/>
      <c r="AE22" s="5"/>
      <c r="AJ22" s="5"/>
    </row>
    <row r="23" spans="1:36" ht="22.15" customHeight="1" x14ac:dyDescent="0.2">
      <c r="A23" s="5" t="s">
        <v>0</v>
      </c>
      <c r="B23" s="5" t="s">
        <v>49</v>
      </c>
      <c r="C23" s="6" t="s">
        <v>28</v>
      </c>
      <c r="D23" s="10">
        <v>45342</v>
      </c>
      <c r="F23" s="45" t="str">
        <f t="shared" ca="1" si="0"/>
        <v xml:space="preserve">9  m 26  D </v>
      </c>
      <c r="G23" s="5">
        <v>5825</v>
      </c>
      <c r="H23" s="5">
        <v>71136</v>
      </c>
      <c r="I23" s="22">
        <f t="shared" si="1"/>
        <v>8.1885402609086819E-2</v>
      </c>
      <c r="J23" s="5">
        <v>305</v>
      </c>
      <c r="K23" s="5">
        <v>3585</v>
      </c>
      <c r="L23" s="5">
        <v>2</v>
      </c>
      <c r="M23" s="5">
        <v>34</v>
      </c>
      <c r="N23" s="5">
        <v>0</v>
      </c>
      <c r="O23" s="5">
        <v>37</v>
      </c>
      <c r="P23" s="5">
        <v>638</v>
      </c>
      <c r="Q23" s="5" t="s">
        <v>11</v>
      </c>
      <c r="R23" s="5" t="s">
        <v>90</v>
      </c>
      <c r="S23" s="5" t="s">
        <v>151</v>
      </c>
      <c r="T23" s="25">
        <f t="shared" si="2"/>
        <v>45371</v>
      </c>
      <c r="U23" s="5" t="str" cm="1">
        <f t="array" ref="U23">IFERROR(MID(S23,MATCH(TRUE,ISNUMBER(1*MID(S23,ROW($1:$12),1)),0),COUNT(1*MID(S23,ROW($1:$12),1))),"غير محدد")</f>
        <v>1</v>
      </c>
      <c r="V23" s="5" t="s">
        <v>93</v>
      </c>
      <c r="W23" s="26">
        <f>الشمالي!$K24/الشمالي!$P24</f>
        <v>6.2448979591836737</v>
      </c>
      <c r="X23" s="22">
        <f t="shared" si="3"/>
        <v>0</v>
      </c>
      <c r="Y23" s="22">
        <f t="shared" si="4"/>
        <v>5.8823529411764705E-2</v>
      </c>
      <c r="Z23" s="22">
        <f t="shared" si="5"/>
        <v>0.12131147540983607</v>
      </c>
      <c r="AA23" s="22" t="str">
        <f t="shared" ca="1" si="6"/>
        <v xml:space="preserve">26   </v>
      </c>
      <c r="AB23" s="5"/>
      <c r="AD23" s="5"/>
      <c r="AE23" s="5"/>
      <c r="AJ23" s="5"/>
    </row>
    <row r="24" spans="1:36" ht="22.15" customHeight="1" x14ac:dyDescent="0.2">
      <c r="A24" s="5" t="s">
        <v>0</v>
      </c>
      <c r="B24" s="5" t="s">
        <v>49</v>
      </c>
      <c r="C24" s="6" t="s">
        <v>28</v>
      </c>
      <c r="D24" s="10">
        <v>45372</v>
      </c>
      <c r="F24" s="45" t="str">
        <f t="shared" ca="1" si="0"/>
        <v xml:space="preserve">8  m 25  D </v>
      </c>
      <c r="G24" s="5">
        <v>1240</v>
      </c>
      <c r="H24" s="5">
        <v>56428</v>
      </c>
      <c r="I24" s="22">
        <f t="shared" si="1"/>
        <v>2.1974906074998229E-2</v>
      </c>
      <c r="J24" s="5">
        <v>107</v>
      </c>
      <c r="K24" s="5">
        <v>3060</v>
      </c>
      <c r="L24" s="5">
        <v>27</v>
      </c>
      <c r="M24" s="5">
        <v>4</v>
      </c>
      <c r="N24" s="5">
        <v>0</v>
      </c>
      <c r="O24" s="5">
        <v>57</v>
      </c>
      <c r="P24" s="5">
        <v>490</v>
      </c>
      <c r="Q24" s="5" t="s">
        <v>25</v>
      </c>
      <c r="R24" s="5" t="s">
        <v>90</v>
      </c>
      <c r="S24" s="5" t="s">
        <v>159</v>
      </c>
      <c r="T24" s="25">
        <f t="shared" si="2"/>
        <v>45403</v>
      </c>
      <c r="U24" s="5" t="str" cm="1">
        <f t="array" ref="U24">IFERROR(MID(S24,MATCH(TRUE,ISNUMBER(1*MID(S24,ROW($1:$12),1)),0),COUNT(1*MID(S24,ROW($1:$12),1))),"غير محدد")</f>
        <v>1</v>
      </c>
      <c r="V24" s="5" t="s">
        <v>93</v>
      </c>
      <c r="W24" s="26">
        <f>الشمالي!$K26/الشمالي!$P26</f>
        <v>4.4288425047438329</v>
      </c>
      <c r="X24" s="22">
        <f t="shared" si="3"/>
        <v>0</v>
      </c>
      <c r="Y24" s="22">
        <f t="shared" si="4"/>
        <v>6.75</v>
      </c>
      <c r="Z24" s="22">
        <f t="shared" si="5"/>
        <v>0.53271028037383172</v>
      </c>
      <c r="AA24" s="22" t="str">
        <f t="shared" ca="1" si="6"/>
        <v xml:space="preserve">25   </v>
      </c>
      <c r="AB24" s="5"/>
      <c r="AD24" s="5"/>
      <c r="AE24" s="5"/>
      <c r="AJ24" s="5"/>
    </row>
    <row r="25" spans="1:36" ht="22.15" customHeight="1" x14ac:dyDescent="0.2">
      <c r="A25" s="5" t="s">
        <v>0</v>
      </c>
      <c r="B25" s="5" t="s">
        <v>49</v>
      </c>
      <c r="C25" s="6" t="s">
        <v>28</v>
      </c>
      <c r="D25" s="10">
        <v>45406</v>
      </c>
      <c r="F25" s="45" t="str">
        <f t="shared" ca="1" si="0"/>
        <v xml:space="preserve">7  m 22  D </v>
      </c>
      <c r="G25" s="5">
        <v>8075</v>
      </c>
      <c r="H25" s="5">
        <v>66021</v>
      </c>
      <c r="I25" s="22">
        <f t="shared" si="1"/>
        <v>0.12230956816770422</v>
      </c>
      <c r="J25" s="5">
        <v>400</v>
      </c>
      <c r="K25" s="5">
        <v>2812</v>
      </c>
      <c r="L25" s="5">
        <v>7</v>
      </c>
      <c r="M25" s="5">
        <v>22</v>
      </c>
      <c r="N25" s="5">
        <v>0</v>
      </c>
      <c r="O25" s="5">
        <v>63</v>
      </c>
      <c r="P25" s="5">
        <v>594</v>
      </c>
      <c r="Q25" s="5" t="s">
        <v>11</v>
      </c>
      <c r="R25" s="5" t="s">
        <v>90</v>
      </c>
      <c r="S25" s="5" t="s">
        <v>164</v>
      </c>
      <c r="T25" s="25" t="str">
        <f t="shared" si="2"/>
        <v>غير محدد</v>
      </c>
      <c r="U25" s="5" t="str" cm="1">
        <f t="array" ref="U25">IFERROR(MID(S25,MATCH(TRUE,ISNUMBER(1*MID(S25,ROW($1:$12),1)),0),COUNT(1*MID(S25,ROW($1:$12),1))),"غير محدد")</f>
        <v>غير محدد</v>
      </c>
      <c r="V25" s="5" t="s">
        <v>93</v>
      </c>
      <c r="W25" s="26">
        <f>الشمالي!$K27/الشمالي!$P27</f>
        <v>14.362204724409448</v>
      </c>
      <c r="X25" s="22">
        <f t="shared" si="3"/>
        <v>0</v>
      </c>
      <c r="Y25" s="22">
        <f t="shared" si="4"/>
        <v>0.31818181818181818</v>
      </c>
      <c r="Z25" s="22">
        <f t="shared" si="5"/>
        <v>0.1575</v>
      </c>
      <c r="AA25" s="22" t="str">
        <f t="shared" ca="1" si="6"/>
        <v xml:space="preserve">0 </v>
      </c>
      <c r="AB25" s="5"/>
      <c r="AD25" s="5"/>
      <c r="AE25" s="5"/>
      <c r="AJ25" s="5"/>
    </row>
    <row r="26" spans="1:36" ht="22.15" customHeight="1" x14ac:dyDescent="0.2">
      <c r="A26" s="5" t="s">
        <v>0</v>
      </c>
      <c r="B26" s="5" t="s">
        <v>49</v>
      </c>
      <c r="C26" s="6" t="s">
        <v>28</v>
      </c>
      <c r="D26" s="10">
        <v>45756</v>
      </c>
      <c r="F26" s="45" t="str">
        <f t="shared" ca="1" si="0"/>
        <v xml:space="preserve">8  m 7  D </v>
      </c>
      <c r="G26" s="5">
        <v>1984</v>
      </c>
      <c r="H26" s="5">
        <v>50540</v>
      </c>
      <c r="I26" s="22">
        <f t="shared" si="1"/>
        <v>3.9256034823901859E-2</v>
      </c>
      <c r="J26" s="5">
        <v>325</v>
      </c>
      <c r="K26" s="5">
        <v>4668</v>
      </c>
      <c r="L26" s="5">
        <v>11</v>
      </c>
      <c r="M26" s="5">
        <v>53</v>
      </c>
      <c r="N26" s="5">
        <v>0</v>
      </c>
      <c r="O26" s="5">
        <v>2</v>
      </c>
      <c r="P26" s="5">
        <v>1054</v>
      </c>
      <c r="Q26" s="5" t="s">
        <v>13</v>
      </c>
      <c r="R26" s="5" t="s">
        <v>90</v>
      </c>
      <c r="S26" s="5" t="s">
        <v>151</v>
      </c>
      <c r="T26" s="25">
        <f t="shared" si="2"/>
        <v>45786</v>
      </c>
      <c r="U26" s="5" t="str" cm="1">
        <f t="array" ref="U26">IFERROR(MID(S26,MATCH(TRUE,ISNUMBER(1*MID(S26,ROW($1:$12),1)),0),COUNT(1*MID(S26,ROW($1:$12),1))),"غير محدد")</f>
        <v>1</v>
      </c>
      <c r="V26" s="5" t="s">
        <v>57</v>
      </c>
      <c r="W26" s="26">
        <f>الشمالي!$K28/الشمالي!$P28</f>
        <v>7.4749999999999996</v>
      </c>
      <c r="X26" s="22">
        <f t="shared" si="3"/>
        <v>0</v>
      </c>
      <c r="Y26" s="22">
        <f t="shared" si="4"/>
        <v>0.20754716981132076</v>
      </c>
      <c r="Z26" s="22">
        <f t="shared" si="5"/>
        <v>6.1538461538461538E-3</v>
      </c>
      <c r="AA26" s="22" t="str">
        <f t="shared" ca="1" si="6"/>
        <v xml:space="preserve">7   </v>
      </c>
      <c r="AB26" s="5"/>
      <c r="AD26" s="5"/>
      <c r="AE26" s="5"/>
      <c r="AJ26" s="5"/>
    </row>
    <row r="27" spans="1:36" ht="22.15" customHeight="1" x14ac:dyDescent="0.2">
      <c r="A27" s="5" t="s">
        <v>102</v>
      </c>
      <c r="B27" s="5" t="s">
        <v>103</v>
      </c>
      <c r="C27" s="6" t="s">
        <v>27</v>
      </c>
      <c r="D27" s="10">
        <v>45208</v>
      </c>
      <c r="F27" s="45" t="str">
        <f t="shared" ca="1" si="0"/>
        <v xml:space="preserve">2  m 7  D </v>
      </c>
      <c r="G27" s="5">
        <v>885</v>
      </c>
      <c r="H27" s="5">
        <v>92884</v>
      </c>
      <c r="I27" s="22">
        <f t="shared" si="1"/>
        <v>9.5280134361138621E-3</v>
      </c>
      <c r="J27" s="5">
        <v>147</v>
      </c>
      <c r="K27" s="5">
        <v>1824</v>
      </c>
      <c r="L27" s="5">
        <v>2</v>
      </c>
      <c r="M27" s="5">
        <v>15</v>
      </c>
      <c r="N27" s="5">
        <v>0</v>
      </c>
      <c r="O27" s="5">
        <v>1</v>
      </c>
      <c r="P27" s="5">
        <v>127</v>
      </c>
      <c r="Q27" s="5" t="s">
        <v>10</v>
      </c>
      <c r="R27" s="5" t="s">
        <v>96</v>
      </c>
      <c r="S27" s="5" t="s">
        <v>12</v>
      </c>
      <c r="T27" s="25" t="str">
        <f t="shared" si="2"/>
        <v>غير محدد</v>
      </c>
      <c r="U27" s="5" t="str" cm="1">
        <f t="array" ref="U27">IFERROR(MID(S27,MATCH(TRUE,ISNUMBER(1*MID(S27,ROW($1:$12),1)),0),COUNT(1*MID(S27,ROW($1:$12),1))),"غير محدد")</f>
        <v>غير محدد</v>
      </c>
      <c r="V27" s="5" t="s">
        <v>93</v>
      </c>
      <c r="W27" s="26">
        <f>الشمالي!$K28/الشمالي!$P28</f>
        <v>7.4749999999999996</v>
      </c>
      <c r="X27" s="22">
        <f t="shared" si="3"/>
        <v>0</v>
      </c>
      <c r="Y27" s="22">
        <f t="shared" si="4"/>
        <v>0.13333333333333333</v>
      </c>
      <c r="Z27" s="22">
        <f t="shared" si="5"/>
        <v>6.8027210884353739E-3</v>
      </c>
      <c r="AA27" s="22" t="str">
        <f t="shared" ca="1" si="6"/>
        <v xml:space="preserve">0 </v>
      </c>
      <c r="AB27" s="5"/>
      <c r="AD27" s="5"/>
      <c r="AE27" s="5"/>
      <c r="AJ27" s="5"/>
    </row>
    <row r="28" spans="1:36" ht="22.15" customHeight="1" x14ac:dyDescent="0.2">
      <c r="A28" s="5" t="s">
        <v>102</v>
      </c>
      <c r="B28" s="5" t="s">
        <v>103</v>
      </c>
      <c r="C28" s="6" t="s">
        <v>27</v>
      </c>
      <c r="D28" s="10">
        <v>45287</v>
      </c>
      <c r="F28" s="45" t="str">
        <f t="shared" ca="1" si="0"/>
        <v xml:space="preserve">11  m 19  D </v>
      </c>
      <c r="G28" s="5">
        <v>13216</v>
      </c>
      <c r="H28" s="5">
        <v>87028</v>
      </c>
      <c r="I28" s="22">
        <f t="shared" si="1"/>
        <v>0.15185917176081262</v>
      </c>
      <c r="J28" s="5">
        <v>251</v>
      </c>
      <c r="K28" s="5">
        <v>2990</v>
      </c>
      <c r="L28" s="5">
        <v>3</v>
      </c>
      <c r="M28" s="5">
        <v>28</v>
      </c>
      <c r="N28" s="5">
        <v>0</v>
      </c>
      <c r="O28" s="5">
        <v>11</v>
      </c>
      <c r="P28" s="5">
        <v>400</v>
      </c>
      <c r="Q28" s="5" t="s">
        <v>25</v>
      </c>
      <c r="R28" s="5" t="s">
        <v>90</v>
      </c>
      <c r="S28" s="5" t="s">
        <v>99</v>
      </c>
      <c r="T28" s="25" t="str">
        <f t="shared" si="2"/>
        <v>غير محدد</v>
      </c>
      <c r="U28" s="5" t="str" cm="1">
        <f t="array" ref="U28">IFERROR(MID(S28,MATCH(TRUE,ISNUMBER(1*MID(S28,ROW($1:$12),1)),0),COUNT(1*MID(S28,ROW($1:$12),1))),"غير محدد")</f>
        <v>غير محدد</v>
      </c>
      <c r="V28" s="5" t="s">
        <v>93</v>
      </c>
      <c r="W28" s="26">
        <f>الشمالي!$K29/الشمالي!$P29</f>
        <v>12.897849462365592</v>
      </c>
      <c r="X28" s="22">
        <f t="shared" si="3"/>
        <v>0</v>
      </c>
      <c r="Y28" s="22">
        <f t="shared" si="4"/>
        <v>0.10714285714285714</v>
      </c>
      <c r="Z28" s="22">
        <f t="shared" si="5"/>
        <v>4.3824701195219126E-2</v>
      </c>
      <c r="AA28" s="22" t="str">
        <f t="shared" ca="1" si="6"/>
        <v xml:space="preserve">0 </v>
      </c>
      <c r="AB28" s="5"/>
      <c r="AD28" s="5"/>
      <c r="AE28" s="5"/>
      <c r="AJ28" s="5"/>
    </row>
    <row r="29" spans="1:36" ht="22.15" customHeight="1" x14ac:dyDescent="0.2">
      <c r="A29" s="5" t="s">
        <v>102</v>
      </c>
      <c r="B29" s="5" t="s">
        <v>103</v>
      </c>
      <c r="C29" s="6" t="s">
        <v>27</v>
      </c>
      <c r="D29" s="10">
        <v>45403</v>
      </c>
      <c r="F29" s="45" t="str">
        <f t="shared" ca="1" si="0"/>
        <v xml:space="preserve">7  m 25  D </v>
      </c>
      <c r="G29" s="5">
        <v>18388</v>
      </c>
      <c r="H29" s="5">
        <v>61622</v>
      </c>
      <c r="I29" s="22">
        <f t="shared" si="1"/>
        <v>0.29839992210574146</v>
      </c>
      <c r="J29" s="5">
        <v>196</v>
      </c>
      <c r="K29" s="5">
        <v>2399</v>
      </c>
      <c r="L29" s="5">
        <v>1</v>
      </c>
      <c r="M29" s="5">
        <v>18</v>
      </c>
      <c r="N29" s="5">
        <v>0</v>
      </c>
      <c r="O29" s="5">
        <v>5</v>
      </c>
      <c r="P29" s="5">
        <v>186</v>
      </c>
      <c r="Q29" s="5" t="s">
        <v>25</v>
      </c>
      <c r="R29" s="5" t="s">
        <v>90</v>
      </c>
      <c r="S29" s="5" t="s">
        <v>151</v>
      </c>
      <c r="T29" s="25">
        <f t="shared" si="2"/>
        <v>45433</v>
      </c>
      <c r="U29" s="5" t="str" cm="1">
        <f t="array" ref="U29">IFERROR(MID(S29,MATCH(TRUE,ISNUMBER(1*MID(S29,ROW($1:$12),1)),0),COUNT(1*MID(S29,ROW($1:$12),1))),"غير محدد")</f>
        <v>1</v>
      </c>
      <c r="V29" s="5" t="s">
        <v>57</v>
      </c>
      <c r="W29" s="26">
        <f>الشمالي!$K30/الشمالي!$P30</f>
        <v>9.7190476190476183</v>
      </c>
      <c r="X29" s="22">
        <f t="shared" si="3"/>
        <v>0</v>
      </c>
      <c r="Y29" s="22">
        <f t="shared" si="4"/>
        <v>5.5555555555555552E-2</v>
      </c>
      <c r="Z29" s="22">
        <f t="shared" si="5"/>
        <v>2.5510204081632654E-2</v>
      </c>
      <c r="AA29" s="22" t="str">
        <f t="shared" ca="1" si="6"/>
        <v xml:space="preserve">25   </v>
      </c>
      <c r="AB29" s="5"/>
      <c r="AD29" s="5"/>
      <c r="AE29" s="5"/>
      <c r="AJ29" s="5"/>
    </row>
    <row r="30" spans="1:36" ht="22.15" customHeight="1" x14ac:dyDescent="0.2">
      <c r="A30" s="5" t="s">
        <v>102</v>
      </c>
      <c r="B30" s="5" t="s">
        <v>29</v>
      </c>
      <c r="C30" s="6" t="s">
        <v>27</v>
      </c>
      <c r="D30" s="10">
        <v>45208</v>
      </c>
      <c r="F30" s="45" t="str">
        <f t="shared" ca="1" si="0"/>
        <v xml:space="preserve">2  m 7  D </v>
      </c>
      <c r="G30" s="5">
        <v>792</v>
      </c>
      <c r="H30" s="5">
        <v>96679</v>
      </c>
      <c r="I30" s="22">
        <f t="shared" si="1"/>
        <v>8.1920582546364772E-3</v>
      </c>
      <c r="J30" s="5">
        <v>114</v>
      </c>
      <c r="K30" s="5">
        <v>2041</v>
      </c>
      <c r="L30" s="5">
        <v>2</v>
      </c>
      <c r="M30" s="5">
        <v>9</v>
      </c>
      <c r="N30" s="5">
        <v>0</v>
      </c>
      <c r="O30" s="5">
        <v>1</v>
      </c>
      <c r="P30" s="5">
        <v>210</v>
      </c>
      <c r="Q30" s="5" t="s">
        <v>10</v>
      </c>
      <c r="R30" s="5" t="s">
        <v>96</v>
      </c>
      <c r="S30" s="5" t="s">
        <v>12</v>
      </c>
      <c r="T30" s="25" t="str">
        <f t="shared" si="2"/>
        <v>غير محدد</v>
      </c>
      <c r="U30" s="5" t="str" cm="1">
        <f t="array" ref="U30">IFERROR(MID(S30,MATCH(TRUE,ISNUMBER(1*MID(S30,ROW($1:$12),1)),0),COUNT(1*MID(S30,ROW($1:$12),1))),"غير محدد")</f>
        <v>غير محدد</v>
      </c>
      <c r="V30" s="5" t="s">
        <v>93</v>
      </c>
      <c r="W30" s="26">
        <f>الشمالي!$K31/الشمالي!$P31</f>
        <v>7.407766990291262</v>
      </c>
      <c r="X30" s="22">
        <f t="shared" si="3"/>
        <v>0</v>
      </c>
      <c r="Y30" s="22">
        <f t="shared" si="4"/>
        <v>0.22222222222222221</v>
      </c>
      <c r="Z30" s="22">
        <f t="shared" si="5"/>
        <v>8.771929824561403E-3</v>
      </c>
      <c r="AA30" s="22" t="str">
        <f t="shared" ca="1" si="6"/>
        <v xml:space="preserve">0 </v>
      </c>
      <c r="AB30" s="5"/>
      <c r="AD30" s="5"/>
      <c r="AE30" s="5"/>
      <c r="AJ30" s="5"/>
    </row>
    <row r="31" spans="1:36" ht="22.15" customHeight="1" x14ac:dyDescent="0.2">
      <c r="A31" s="5" t="s">
        <v>102</v>
      </c>
      <c r="B31" s="5" t="s">
        <v>29</v>
      </c>
      <c r="C31" s="6" t="s">
        <v>27</v>
      </c>
      <c r="D31" s="10">
        <v>45287</v>
      </c>
      <c r="F31" s="45" t="str">
        <f t="shared" ca="1" si="0"/>
        <v xml:space="preserve">11  m 19  D </v>
      </c>
      <c r="G31" s="5">
        <v>16117</v>
      </c>
      <c r="H31" s="5">
        <v>77962</v>
      </c>
      <c r="I31" s="22">
        <f t="shared" si="1"/>
        <v>0.20672891921705447</v>
      </c>
      <c r="J31" s="5">
        <v>134</v>
      </c>
      <c r="K31" s="5">
        <v>3052</v>
      </c>
      <c r="L31" s="5">
        <v>1</v>
      </c>
      <c r="M31" s="5">
        <v>17</v>
      </c>
      <c r="N31" s="5">
        <v>0</v>
      </c>
      <c r="O31" s="5">
        <v>14</v>
      </c>
      <c r="P31" s="5">
        <v>412</v>
      </c>
      <c r="Q31" s="5" t="s">
        <v>25</v>
      </c>
      <c r="R31" s="5" t="s">
        <v>90</v>
      </c>
      <c r="S31" s="5" t="s">
        <v>99</v>
      </c>
      <c r="T31" s="25" t="str">
        <f t="shared" si="2"/>
        <v>غير محدد</v>
      </c>
      <c r="U31" s="5" t="str" cm="1">
        <f t="array" ref="U31">IFERROR(MID(S31,MATCH(TRUE,ISNUMBER(1*MID(S31,ROW($1:$12),1)),0),COUNT(1*MID(S31,ROW($1:$12),1))),"غير محدد")</f>
        <v>غير محدد</v>
      </c>
      <c r="V31" s="5" t="s">
        <v>93</v>
      </c>
      <c r="W31" s="26">
        <f>الشمالي!$K32/الشمالي!$P32</f>
        <v>13.118556701030927</v>
      </c>
      <c r="X31" s="22">
        <f t="shared" si="3"/>
        <v>0</v>
      </c>
      <c r="Y31" s="22">
        <f t="shared" si="4"/>
        <v>5.8823529411764705E-2</v>
      </c>
      <c r="Z31" s="22">
        <f t="shared" si="5"/>
        <v>0.1044776119402985</v>
      </c>
      <c r="AA31" s="22" t="str">
        <f t="shared" ca="1" si="6"/>
        <v xml:space="preserve">0 </v>
      </c>
      <c r="AB31" s="5"/>
      <c r="AD31" s="5"/>
      <c r="AE31" s="5"/>
      <c r="AJ31" s="5"/>
    </row>
    <row r="32" spans="1:36" ht="22.15" customHeight="1" x14ac:dyDescent="0.2">
      <c r="A32" s="5" t="s">
        <v>102</v>
      </c>
      <c r="B32" s="5" t="s">
        <v>29</v>
      </c>
      <c r="C32" s="6" t="s">
        <v>27</v>
      </c>
      <c r="D32" s="10">
        <v>45403</v>
      </c>
      <c r="F32" s="45" t="str">
        <f t="shared" ca="1" si="0"/>
        <v xml:space="preserve">7  m 25  D </v>
      </c>
      <c r="G32" s="5">
        <v>19043</v>
      </c>
      <c r="H32" s="5">
        <v>65523</v>
      </c>
      <c r="I32" s="22">
        <f t="shared" si="1"/>
        <v>0.29063077087434946</v>
      </c>
      <c r="J32" s="5">
        <v>178</v>
      </c>
      <c r="K32" s="5">
        <v>2545</v>
      </c>
      <c r="L32" s="5">
        <v>1</v>
      </c>
      <c r="M32" s="5">
        <v>5</v>
      </c>
      <c r="N32" s="5">
        <v>0</v>
      </c>
      <c r="O32" s="5">
        <v>3</v>
      </c>
      <c r="P32" s="5">
        <v>194</v>
      </c>
      <c r="Q32" s="5" t="s">
        <v>25</v>
      </c>
      <c r="R32" s="5" t="s">
        <v>90</v>
      </c>
      <c r="S32" s="5" t="s">
        <v>151</v>
      </c>
      <c r="T32" s="25">
        <f t="shared" si="2"/>
        <v>45433</v>
      </c>
      <c r="U32" s="5" t="str" cm="1">
        <f t="array" ref="U32">IFERROR(MID(S32,MATCH(TRUE,ISNUMBER(1*MID(S32,ROW($1:$12),1)),0),COUNT(1*MID(S32,ROW($1:$12),1))),"غير محدد")</f>
        <v>1</v>
      </c>
      <c r="V32" s="32" t="s">
        <v>57</v>
      </c>
      <c r="W32" s="26">
        <f>الشمالي!$K33/الشمالي!$P33</f>
        <v>13.815384615384616</v>
      </c>
      <c r="X32" s="22">
        <f t="shared" si="3"/>
        <v>0</v>
      </c>
      <c r="Y32" s="22">
        <f t="shared" si="4"/>
        <v>0.2</v>
      </c>
      <c r="Z32" s="22">
        <f t="shared" si="5"/>
        <v>1.6853932584269662E-2</v>
      </c>
      <c r="AA32" s="22" t="str">
        <f t="shared" ca="1" si="6"/>
        <v xml:space="preserve">25   </v>
      </c>
      <c r="AB32" s="5"/>
      <c r="AD32" s="5"/>
      <c r="AE32" s="5"/>
      <c r="AJ32" s="5"/>
    </row>
    <row r="33" spans="1:36" ht="22.15" customHeight="1" x14ac:dyDescent="0.2">
      <c r="A33" s="5" t="s">
        <v>102</v>
      </c>
      <c r="B33" s="5" t="s">
        <v>18</v>
      </c>
      <c r="C33" s="6" t="s">
        <v>27</v>
      </c>
      <c r="D33" s="10">
        <v>45208</v>
      </c>
      <c r="F33" s="45" t="str">
        <f t="shared" ca="1" si="0"/>
        <v xml:space="preserve">2  m 7  D </v>
      </c>
      <c r="G33" s="5">
        <v>822</v>
      </c>
      <c r="H33" s="5">
        <v>82803</v>
      </c>
      <c r="I33" s="22">
        <f t="shared" si="1"/>
        <v>9.927176551574218E-3</v>
      </c>
      <c r="J33" s="5">
        <v>174</v>
      </c>
      <c r="K33" s="5">
        <v>1796</v>
      </c>
      <c r="L33" s="5">
        <v>2</v>
      </c>
      <c r="M33" s="5">
        <v>3</v>
      </c>
      <c r="N33" s="5">
        <v>0</v>
      </c>
      <c r="O33" s="5">
        <v>1</v>
      </c>
      <c r="P33" s="5">
        <v>130</v>
      </c>
      <c r="Q33" s="5" t="s">
        <v>10</v>
      </c>
      <c r="R33" s="5" t="s">
        <v>96</v>
      </c>
      <c r="S33" s="5" t="s">
        <v>12</v>
      </c>
      <c r="T33" s="25" t="str">
        <f t="shared" si="2"/>
        <v>غير محدد</v>
      </c>
      <c r="U33" s="5" t="str" cm="1">
        <f t="array" ref="U33">IFERROR(MID(S33,MATCH(TRUE,ISNUMBER(1*MID(S33,ROW($1:$12),1)),0),COUNT(1*MID(S33,ROW($1:$12),1))),"غير محدد")</f>
        <v>غير محدد</v>
      </c>
      <c r="V33" s="5" t="s">
        <v>93</v>
      </c>
      <c r="W33" s="26">
        <f>الشمالي!$K34/الشمالي!$P34</f>
        <v>9.1030927835051543</v>
      </c>
      <c r="X33" s="22">
        <f t="shared" si="3"/>
        <v>0</v>
      </c>
      <c r="Y33" s="22">
        <f t="shared" si="4"/>
        <v>0.66666666666666663</v>
      </c>
      <c r="Z33" s="22">
        <f t="shared" si="5"/>
        <v>5.7471264367816091E-3</v>
      </c>
      <c r="AA33" s="22" t="str">
        <f t="shared" ca="1" si="6"/>
        <v xml:space="preserve">0 </v>
      </c>
      <c r="AB33" s="5"/>
      <c r="AD33" s="5"/>
      <c r="AE33" s="5"/>
      <c r="AJ33" s="5"/>
    </row>
    <row r="34" spans="1:36" ht="22.15" customHeight="1" x14ac:dyDescent="0.2">
      <c r="A34" s="5" t="s">
        <v>102</v>
      </c>
      <c r="B34" s="5" t="s">
        <v>18</v>
      </c>
      <c r="C34" s="6" t="s">
        <v>27</v>
      </c>
      <c r="D34" s="10">
        <v>45287</v>
      </c>
      <c r="F34" s="45" t="str">
        <f t="shared" ref="F34:F65" ca="1" si="12">IFERROR(DATEDIF(D34,TODAY(),"YM") &amp; "  m " &amp; DATEDIF(D34,TODAY(),"MD") &amp; "  D "," ")</f>
        <v xml:space="preserve">11  m 19  D </v>
      </c>
      <c r="G34" s="5">
        <v>21519</v>
      </c>
      <c r="H34" s="5">
        <v>68743</v>
      </c>
      <c r="I34" s="22">
        <f t="shared" si="1"/>
        <v>0.31303550907001443</v>
      </c>
      <c r="J34" s="5">
        <v>81</v>
      </c>
      <c r="K34" s="5">
        <v>2649</v>
      </c>
      <c r="L34" s="5">
        <v>2</v>
      </c>
      <c r="M34" s="5">
        <v>3</v>
      </c>
      <c r="N34" s="5">
        <v>0</v>
      </c>
      <c r="O34" s="5">
        <v>4</v>
      </c>
      <c r="P34" s="5">
        <v>291</v>
      </c>
      <c r="Q34" s="5" t="s">
        <v>10</v>
      </c>
      <c r="R34" s="5" t="s">
        <v>96</v>
      </c>
      <c r="S34" s="5" t="s">
        <v>12</v>
      </c>
      <c r="T34" s="25" t="str">
        <f t="shared" ref="T34:T65" si="13">IFERROR(IF(U34&gt;=1,EDATE(D34,U34),"غير محدد"),"غير محدد")</f>
        <v>غير محدد</v>
      </c>
      <c r="U34" s="5" t="str" cm="1">
        <f t="array" ref="U34">IFERROR(MID(S34,MATCH(TRUE,ISNUMBER(1*MID(S34,ROW($1:$12),1)),0),COUNT(1*MID(S34,ROW($1:$12),1))),"غير محدد")</f>
        <v>غير محدد</v>
      </c>
      <c r="V34" s="5" t="s">
        <v>93</v>
      </c>
      <c r="W34" s="26">
        <f>الشمالي!$K35/الشمالي!$P35</f>
        <v>13.410404624277456</v>
      </c>
      <c r="X34" s="22">
        <f t="shared" si="3"/>
        <v>0</v>
      </c>
      <c r="Y34" s="22">
        <f t="shared" si="4"/>
        <v>0.66666666666666663</v>
      </c>
      <c r="Z34" s="22">
        <f t="shared" si="5"/>
        <v>4.9382716049382713E-2</v>
      </c>
      <c r="AA34" s="22" t="str">
        <f t="shared" ca="1" si="6"/>
        <v xml:space="preserve">0 </v>
      </c>
      <c r="AB34" s="5"/>
      <c r="AD34" s="5"/>
      <c r="AE34" s="5"/>
      <c r="AJ34" s="5"/>
    </row>
    <row r="35" spans="1:36" ht="22.15" customHeight="1" x14ac:dyDescent="0.2">
      <c r="A35" s="5" t="s">
        <v>102</v>
      </c>
      <c r="B35" s="5" t="s">
        <v>18</v>
      </c>
      <c r="C35" s="6" t="s">
        <v>27</v>
      </c>
      <c r="D35" s="10">
        <v>45403</v>
      </c>
      <c r="F35" s="45" t="str">
        <f t="shared" ca="1" si="12"/>
        <v xml:space="preserve">7  m 25  D </v>
      </c>
      <c r="G35" s="5">
        <v>21454</v>
      </c>
      <c r="H35" s="5">
        <v>64062</v>
      </c>
      <c r="I35" s="22">
        <f t="shared" ref="I35:I66" si="14">G35/H35</f>
        <v>0.33489432112640877</v>
      </c>
      <c r="J35" s="5">
        <v>65</v>
      </c>
      <c r="K35" s="5">
        <v>2320</v>
      </c>
      <c r="L35" s="5">
        <v>1</v>
      </c>
      <c r="M35" s="5">
        <v>3</v>
      </c>
      <c r="N35" s="5">
        <v>0</v>
      </c>
      <c r="O35" s="5">
        <v>1</v>
      </c>
      <c r="P35" s="5">
        <v>173</v>
      </c>
      <c r="Q35" s="5" t="s">
        <v>10</v>
      </c>
      <c r="R35" s="5" t="s">
        <v>96</v>
      </c>
      <c r="S35" s="5" t="s">
        <v>151</v>
      </c>
      <c r="T35" s="25">
        <f t="shared" si="13"/>
        <v>45433</v>
      </c>
      <c r="U35" s="5" t="str" cm="1">
        <f t="array" ref="U35">IFERROR(MID(S35,MATCH(TRUE,ISNUMBER(1*MID(S35,ROW($1:$12),1)),0),COUNT(1*MID(S35,ROW($1:$12),1))),"غير محدد")</f>
        <v>1</v>
      </c>
      <c r="V35" s="5" t="s">
        <v>57</v>
      </c>
      <c r="W35" s="26">
        <f>الشمالي!$K36/الشمالي!$P36</f>
        <v>20.25</v>
      </c>
      <c r="X35" s="22">
        <f t="shared" ref="X35:X66" si="15">N35/L35</f>
        <v>0</v>
      </c>
      <c r="Y35" s="22">
        <f t="shared" ref="Y35:Y66" si="16">L35/M35</f>
        <v>0.33333333333333331</v>
      </c>
      <c r="Z35" s="22">
        <f t="shared" ref="Z35:Z66" si="17">O35/J35</f>
        <v>1.5384615384615385E-2</v>
      </c>
      <c r="AA35" s="22" t="str">
        <f t="shared" ref="AA35:AA66" ca="1" si="18">IFERROR(DATEDIF(T35,TODAY(),"MD") &amp; "   ","0 ")</f>
        <v xml:space="preserve">25   </v>
      </c>
      <c r="AB35" s="5"/>
      <c r="AD35" s="5"/>
      <c r="AE35" s="5"/>
      <c r="AJ35" s="5"/>
    </row>
    <row r="36" spans="1:36" ht="22.15" customHeight="1" x14ac:dyDescent="0.2">
      <c r="A36" s="5" t="s">
        <v>155</v>
      </c>
      <c r="B36" s="5" t="s">
        <v>38</v>
      </c>
      <c r="C36" s="6" t="s">
        <v>27</v>
      </c>
      <c r="D36" s="10">
        <v>45340</v>
      </c>
      <c r="F36" s="45" t="str">
        <f t="shared" ca="1" si="12"/>
        <v xml:space="preserve">9  m 28  D </v>
      </c>
      <c r="G36" s="5">
        <v>19108</v>
      </c>
      <c r="H36" s="5">
        <v>85274</v>
      </c>
      <c r="I36" s="22">
        <f t="shared" si="14"/>
        <v>0.22407767901118747</v>
      </c>
      <c r="J36" s="5">
        <v>20</v>
      </c>
      <c r="K36" s="5">
        <v>3159</v>
      </c>
      <c r="L36" s="5">
        <v>4</v>
      </c>
      <c r="M36" s="5">
        <v>23</v>
      </c>
      <c r="N36" s="5">
        <v>0</v>
      </c>
      <c r="O36" s="5">
        <v>1</v>
      </c>
      <c r="P36" s="5">
        <v>156</v>
      </c>
      <c r="Q36" s="5" t="s">
        <v>10</v>
      </c>
      <c r="R36" s="5" t="s">
        <v>96</v>
      </c>
      <c r="S36" s="5" t="s">
        <v>150</v>
      </c>
      <c r="T36" s="25">
        <f t="shared" si="13"/>
        <v>45522</v>
      </c>
      <c r="U36" s="5" t="str" cm="1">
        <f t="array" ref="U36">IFERROR(MID(S36,MATCH(TRUE,ISNUMBER(1*MID(S36,ROW($1:$12),1)),0),COUNT(1*MID(S36,ROW($1:$12),1))),"غير محدد")</f>
        <v>6</v>
      </c>
      <c r="V36" s="5" t="s">
        <v>57</v>
      </c>
      <c r="W36" s="26">
        <f>الشمالي!$K37/الشمالي!$P37</f>
        <v>14.013698630136986</v>
      </c>
      <c r="X36" s="22">
        <f t="shared" si="15"/>
        <v>0</v>
      </c>
      <c r="Y36" s="22">
        <f t="shared" si="16"/>
        <v>0.17391304347826086</v>
      </c>
      <c r="Z36" s="22">
        <f t="shared" si="17"/>
        <v>0.05</v>
      </c>
      <c r="AA36" s="22" t="str">
        <f t="shared" ca="1" si="18"/>
        <v xml:space="preserve">28   </v>
      </c>
      <c r="AB36" s="5"/>
      <c r="AD36" s="5"/>
      <c r="AE36" s="5"/>
      <c r="AJ36" s="5"/>
    </row>
    <row r="37" spans="1:36" ht="22.15" customHeight="1" x14ac:dyDescent="0.2">
      <c r="A37" s="5" t="s">
        <v>104</v>
      </c>
      <c r="B37" s="5" t="s">
        <v>15</v>
      </c>
      <c r="C37" s="6" t="s">
        <v>27</v>
      </c>
      <c r="D37" s="10">
        <v>45208</v>
      </c>
      <c r="F37" s="45" t="str">
        <f t="shared" ca="1" si="12"/>
        <v xml:space="preserve">2  m 7  D </v>
      </c>
      <c r="G37" s="5">
        <v>3633</v>
      </c>
      <c r="H37" s="5">
        <v>111565</v>
      </c>
      <c r="I37" s="22">
        <f t="shared" si="14"/>
        <v>3.2563976157397034E-2</v>
      </c>
      <c r="J37" s="5">
        <v>216</v>
      </c>
      <c r="K37" s="5">
        <v>2046</v>
      </c>
      <c r="L37" s="5">
        <v>2</v>
      </c>
      <c r="M37" s="5">
        <v>7</v>
      </c>
      <c r="N37" s="5">
        <v>0</v>
      </c>
      <c r="O37" s="5">
        <v>1</v>
      </c>
      <c r="P37" s="5">
        <v>146</v>
      </c>
      <c r="Q37" s="5" t="s">
        <v>13</v>
      </c>
      <c r="R37" s="5" t="s">
        <v>90</v>
      </c>
      <c r="S37" s="5" t="s">
        <v>99</v>
      </c>
      <c r="T37" s="25" t="str">
        <f t="shared" si="13"/>
        <v>غير محدد</v>
      </c>
      <c r="U37" s="5" t="str" cm="1">
        <f t="array" ref="U37">IFERROR(MID(S37,MATCH(TRUE,ISNUMBER(1*MID(S37,ROW($1:$12),1)),0),COUNT(1*MID(S37,ROW($1:$12),1))),"غير محدد")</f>
        <v>غير محدد</v>
      </c>
      <c r="V37" s="5" t="s">
        <v>93</v>
      </c>
      <c r="W37" s="26">
        <f>الشمالي!$K38/الشمالي!$P38</f>
        <v>9.4778761061946906</v>
      </c>
      <c r="X37" s="22">
        <f t="shared" si="15"/>
        <v>0</v>
      </c>
      <c r="Y37" s="22">
        <f t="shared" si="16"/>
        <v>0.2857142857142857</v>
      </c>
      <c r="Z37" s="22">
        <f t="shared" si="17"/>
        <v>4.6296296296296294E-3</v>
      </c>
      <c r="AA37" s="22" t="str">
        <f t="shared" ca="1" si="18"/>
        <v xml:space="preserve">0 </v>
      </c>
      <c r="AB37" s="5"/>
      <c r="AD37" s="5"/>
      <c r="AE37" s="5"/>
      <c r="AJ37" s="5"/>
    </row>
    <row r="38" spans="1:36" ht="22.15" customHeight="1" x14ac:dyDescent="0.2">
      <c r="A38" s="5" t="s">
        <v>104</v>
      </c>
      <c r="B38" s="5" t="s">
        <v>15</v>
      </c>
      <c r="C38" s="6" t="s">
        <v>27</v>
      </c>
      <c r="D38" s="10">
        <v>45287</v>
      </c>
      <c r="F38" s="45" t="str">
        <f t="shared" ca="1" si="12"/>
        <v xml:space="preserve">11  m 19  D </v>
      </c>
      <c r="G38" s="5">
        <v>10627</v>
      </c>
      <c r="H38" s="5">
        <v>50418</v>
      </c>
      <c r="I38" s="22">
        <f t="shared" si="14"/>
        <v>0.21077789678289499</v>
      </c>
      <c r="J38" s="5">
        <v>51</v>
      </c>
      <c r="K38" s="5">
        <v>1071</v>
      </c>
      <c r="L38" s="5">
        <v>3</v>
      </c>
      <c r="M38" s="5">
        <v>6</v>
      </c>
      <c r="N38" s="5">
        <v>0</v>
      </c>
      <c r="O38" s="5">
        <v>3</v>
      </c>
      <c r="P38" s="5">
        <v>113</v>
      </c>
      <c r="Q38" s="5" t="s">
        <v>10</v>
      </c>
      <c r="R38" s="5" t="s">
        <v>96</v>
      </c>
      <c r="S38" s="5" t="s">
        <v>12</v>
      </c>
      <c r="T38" s="25" t="str">
        <f t="shared" si="13"/>
        <v>غير محدد</v>
      </c>
      <c r="U38" s="5" t="str" cm="1">
        <f t="array" ref="U38">IFERROR(MID(S38,MATCH(TRUE,ISNUMBER(1*MID(S38,ROW($1:$12),1)),0),COUNT(1*MID(S38,ROW($1:$12),1))),"غير محدد")</f>
        <v>غير محدد</v>
      </c>
      <c r="V38" s="5" t="s">
        <v>57</v>
      </c>
      <c r="W38" s="26">
        <f>الشمالي!$K39/الشمالي!$P39</f>
        <v>12.338028169014084</v>
      </c>
      <c r="X38" s="22">
        <f t="shared" si="15"/>
        <v>0</v>
      </c>
      <c r="Y38" s="22">
        <f t="shared" si="16"/>
        <v>0.5</v>
      </c>
      <c r="Z38" s="22">
        <f t="shared" si="17"/>
        <v>5.8823529411764705E-2</v>
      </c>
      <c r="AA38" s="22" t="str">
        <f t="shared" ca="1" si="18"/>
        <v xml:space="preserve">0 </v>
      </c>
      <c r="AB38" s="5"/>
      <c r="AD38" s="5"/>
      <c r="AE38" s="5"/>
      <c r="AJ38" s="5"/>
    </row>
    <row r="39" spans="1:36" ht="22.15" customHeight="1" x14ac:dyDescent="0.2">
      <c r="A39" s="5" t="s">
        <v>104</v>
      </c>
      <c r="B39" s="5" t="s">
        <v>24</v>
      </c>
      <c r="C39" s="6" t="s">
        <v>27</v>
      </c>
      <c r="D39" s="10">
        <v>45208</v>
      </c>
      <c r="F39" s="45" t="str">
        <f t="shared" ca="1" si="12"/>
        <v xml:space="preserve">2  m 7  D </v>
      </c>
      <c r="G39" s="5">
        <v>789</v>
      </c>
      <c r="H39" s="5">
        <v>114874</v>
      </c>
      <c r="I39" s="22">
        <f t="shared" si="14"/>
        <v>6.868394937061476E-3</v>
      </c>
      <c r="J39" s="5">
        <v>154</v>
      </c>
      <c r="K39" s="5">
        <v>1752</v>
      </c>
      <c r="L39" s="5">
        <v>2</v>
      </c>
      <c r="M39" s="5">
        <v>3</v>
      </c>
      <c r="N39" s="5">
        <v>0</v>
      </c>
      <c r="O39" s="5">
        <v>1</v>
      </c>
      <c r="P39" s="5">
        <v>142</v>
      </c>
      <c r="Q39" s="5" t="s">
        <v>10</v>
      </c>
      <c r="R39" s="5" t="s">
        <v>96</v>
      </c>
      <c r="S39" s="5" t="s">
        <v>12</v>
      </c>
      <c r="T39" s="25" t="str">
        <f t="shared" si="13"/>
        <v>غير محدد</v>
      </c>
      <c r="U39" s="5" t="str" cm="1">
        <f t="array" ref="U39">IFERROR(MID(S39,MATCH(TRUE,ISNUMBER(1*MID(S39,ROW($1:$12),1)),0),COUNT(1*MID(S39,ROW($1:$12),1))),"غير محدد")</f>
        <v>غير محدد</v>
      </c>
      <c r="V39" s="5" t="s">
        <v>93</v>
      </c>
      <c r="W39" s="26">
        <f>الشمالي!$K40/الشمالي!$P40</f>
        <v>7.0555555555555554</v>
      </c>
      <c r="X39" s="22">
        <f t="shared" si="15"/>
        <v>0</v>
      </c>
      <c r="Y39" s="22">
        <f t="shared" si="16"/>
        <v>0.66666666666666663</v>
      </c>
      <c r="Z39" s="22">
        <f t="shared" si="17"/>
        <v>6.4935064935064939E-3</v>
      </c>
      <c r="AA39" s="22" t="str">
        <f t="shared" ca="1" si="18"/>
        <v xml:space="preserve">0 </v>
      </c>
      <c r="AB39" s="5"/>
      <c r="AD39" s="5"/>
      <c r="AE39" s="5"/>
      <c r="AJ39" s="5"/>
    </row>
    <row r="40" spans="1:36" ht="22.15" customHeight="1" x14ac:dyDescent="0.2">
      <c r="A40" s="5" t="s">
        <v>104</v>
      </c>
      <c r="B40" s="5" t="s">
        <v>24</v>
      </c>
      <c r="C40" s="6" t="s">
        <v>27</v>
      </c>
      <c r="D40" s="10">
        <v>45287</v>
      </c>
      <c r="F40" s="45" t="str">
        <f t="shared" ca="1" si="12"/>
        <v xml:space="preserve">11  m 19  D </v>
      </c>
      <c r="G40" s="5">
        <v>16680</v>
      </c>
      <c r="H40" s="5">
        <v>80952</v>
      </c>
      <c r="I40" s="22">
        <f t="shared" si="14"/>
        <v>0.2060480284613104</v>
      </c>
      <c r="J40" s="5">
        <v>161</v>
      </c>
      <c r="K40" s="5">
        <v>2667</v>
      </c>
      <c r="L40" s="5">
        <v>3</v>
      </c>
      <c r="M40" s="5">
        <v>4</v>
      </c>
      <c r="N40" s="5">
        <v>0</v>
      </c>
      <c r="O40" s="5">
        <v>4</v>
      </c>
      <c r="P40" s="5">
        <v>378</v>
      </c>
      <c r="Q40" s="5" t="s">
        <v>25</v>
      </c>
      <c r="R40" s="5" t="s">
        <v>90</v>
      </c>
      <c r="S40" s="5" t="s">
        <v>99</v>
      </c>
      <c r="T40" s="25" t="str">
        <f t="shared" si="13"/>
        <v>غير محدد</v>
      </c>
      <c r="U40" s="5" t="str" cm="1">
        <f t="array" ref="U40">IFERROR(MID(S40,MATCH(TRUE,ISNUMBER(1*MID(S40,ROW($1:$12),1)),0),COUNT(1*MID(S40,ROW($1:$12),1))),"غير محدد")</f>
        <v>غير محدد</v>
      </c>
      <c r="V40" s="5" t="s">
        <v>93</v>
      </c>
      <c r="W40" s="26">
        <f>الشمالي!$K41/الشمالي!$P41</f>
        <v>7.3405405405405402</v>
      </c>
      <c r="X40" s="22">
        <f t="shared" si="15"/>
        <v>0</v>
      </c>
      <c r="Y40" s="22">
        <f t="shared" si="16"/>
        <v>0.75</v>
      </c>
      <c r="Z40" s="22">
        <f t="shared" si="17"/>
        <v>2.4844720496894408E-2</v>
      </c>
      <c r="AA40" s="22" t="str">
        <f t="shared" ca="1" si="18"/>
        <v xml:space="preserve">0 </v>
      </c>
      <c r="AB40" s="5"/>
      <c r="AD40" s="5"/>
      <c r="AE40" s="5"/>
      <c r="AJ40" s="5"/>
    </row>
    <row r="41" spans="1:36" ht="22.15" customHeight="1" x14ac:dyDescent="0.2">
      <c r="A41" s="5" t="s">
        <v>104</v>
      </c>
      <c r="B41" s="5" t="s">
        <v>24</v>
      </c>
      <c r="C41" s="6" t="s">
        <v>27</v>
      </c>
      <c r="D41" s="10">
        <v>45452</v>
      </c>
      <c r="F41" s="45" t="str">
        <f t="shared" ca="1" si="12"/>
        <v xml:space="preserve">6  m 7  D </v>
      </c>
      <c r="G41" s="5">
        <v>25554</v>
      </c>
      <c r="H41" s="5">
        <v>69882</v>
      </c>
      <c r="I41" s="22">
        <f t="shared" si="14"/>
        <v>0.36567356400789902</v>
      </c>
      <c r="J41" s="5">
        <v>33</v>
      </c>
      <c r="K41" s="5">
        <v>1358</v>
      </c>
      <c r="L41" s="5">
        <v>2</v>
      </c>
      <c r="M41" s="5">
        <v>1</v>
      </c>
      <c r="N41" s="5">
        <v>0</v>
      </c>
      <c r="O41" s="5">
        <v>1</v>
      </c>
      <c r="P41" s="5">
        <v>185</v>
      </c>
      <c r="Q41" s="5" t="s">
        <v>21</v>
      </c>
      <c r="R41" s="5" t="s">
        <v>113</v>
      </c>
      <c r="S41" s="5" t="s">
        <v>70</v>
      </c>
      <c r="T41" s="25" t="str">
        <f t="shared" si="13"/>
        <v>غير محدد</v>
      </c>
      <c r="U41" s="5" t="str" cm="1">
        <f t="array" ref="U41">IFERROR(MID(S41,MATCH(TRUE,ISNUMBER(1*MID(S41,ROW($1:$12),1)),0),COUNT(1*MID(S41,ROW($1:$12),1))),"غير محدد")</f>
        <v>غير محدد</v>
      </c>
      <c r="V41" s="5" t="s">
        <v>93</v>
      </c>
      <c r="W41" s="26">
        <f>الشمالي!$K42/الشمالي!$P42</f>
        <v>14.44375</v>
      </c>
      <c r="X41" s="22">
        <f t="shared" si="15"/>
        <v>0</v>
      </c>
      <c r="Y41" s="22">
        <f t="shared" si="16"/>
        <v>2</v>
      </c>
      <c r="Z41" s="22">
        <f t="shared" si="17"/>
        <v>3.0303030303030304E-2</v>
      </c>
      <c r="AA41" s="22" t="str">
        <f t="shared" ca="1" si="18"/>
        <v xml:space="preserve">0 </v>
      </c>
      <c r="AB41" s="5"/>
      <c r="AD41" s="5"/>
      <c r="AE41" s="5"/>
      <c r="AJ41" s="5"/>
    </row>
    <row r="42" spans="1:36" ht="22.15" customHeight="1" x14ac:dyDescent="0.2">
      <c r="A42" s="5" t="s">
        <v>104</v>
      </c>
      <c r="B42" s="5" t="s">
        <v>38</v>
      </c>
      <c r="C42" s="6" t="s">
        <v>27</v>
      </c>
      <c r="D42" s="10">
        <v>45208</v>
      </c>
      <c r="F42" s="45" t="str">
        <f t="shared" ca="1" si="12"/>
        <v xml:space="preserve">2  m 7  D </v>
      </c>
      <c r="G42" s="5">
        <v>8244</v>
      </c>
      <c r="H42" s="5">
        <v>96479</v>
      </c>
      <c r="I42" s="22">
        <f t="shared" si="14"/>
        <v>8.5448646855792454E-2</v>
      </c>
      <c r="J42" s="5">
        <v>86</v>
      </c>
      <c r="K42" s="5">
        <v>2311</v>
      </c>
      <c r="L42" s="5">
        <v>3</v>
      </c>
      <c r="M42" s="5">
        <v>2</v>
      </c>
      <c r="N42" s="5">
        <v>0</v>
      </c>
      <c r="O42" s="5">
        <v>1</v>
      </c>
      <c r="P42" s="5">
        <v>160</v>
      </c>
      <c r="Q42" s="5" t="s">
        <v>10</v>
      </c>
      <c r="R42" s="5" t="s">
        <v>96</v>
      </c>
      <c r="S42" s="5" t="s">
        <v>12</v>
      </c>
      <c r="T42" s="25" t="str">
        <f t="shared" si="13"/>
        <v>غير محدد</v>
      </c>
      <c r="U42" s="5" t="str" cm="1">
        <f t="array" ref="U42">IFERROR(MID(S42,MATCH(TRUE,ISNUMBER(1*MID(S42,ROW($1:$12),1)),0),COUNT(1*MID(S42,ROW($1:$12),1))),"غير محدد")</f>
        <v>غير محدد</v>
      </c>
      <c r="V42" s="5" t="s">
        <v>57</v>
      </c>
      <c r="W42" s="26">
        <f>الشمالي!$K43/الشمالي!$P43</f>
        <v>14.627118644067796</v>
      </c>
      <c r="X42" s="22">
        <f t="shared" si="15"/>
        <v>0</v>
      </c>
      <c r="Y42" s="22">
        <f t="shared" si="16"/>
        <v>1.5</v>
      </c>
      <c r="Z42" s="22">
        <f t="shared" si="17"/>
        <v>1.1627906976744186E-2</v>
      </c>
      <c r="AA42" s="22" t="str">
        <f t="shared" ca="1" si="18"/>
        <v xml:space="preserve">0 </v>
      </c>
      <c r="AB42" s="5"/>
      <c r="AD42" s="5"/>
      <c r="AE42" s="5"/>
      <c r="AJ42" s="5"/>
    </row>
    <row r="43" spans="1:36" ht="22.15" customHeight="1" x14ac:dyDescent="0.2">
      <c r="A43" s="5" t="s">
        <v>104</v>
      </c>
      <c r="B43" s="5" t="s">
        <v>39</v>
      </c>
      <c r="C43" s="6" t="s">
        <v>27</v>
      </c>
      <c r="D43" s="10">
        <v>45208</v>
      </c>
      <c r="F43" s="45" t="str">
        <f t="shared" ca="1" si="12"/>
        <v xml:space="preserve">2  m 7  D </v>
      </c>
      <c r="G43" s="5">
        <v>20314</v>
      </c>
      <c r="H43" s="5">
        <v>168945</v>
      </c>
      <c r="I43" s="22">
        <f t="shared" si="14"/>
        <v>0.12024031489538016</v>
      </c>
      <c r="J43" s="5">
        <v>134</v>
      </c>
      <c r="K43" s="5">
        <v>2589</v>
      </c>
      <c r="L43" s="5">
        <v>2</v>
      </c>
      <c r="M43" s="5">
        <v>3</v>
      </c>
      <c r="N43" s="5">
        <v>0</v>
      </c>
      <c r="O43" s="5">
        <v>2</v>
      </c>
      <c r="P43" s="5">
        <v>177</v>
      </c>
      <c r="Q43" s="5" t="s">
        <v>10</v>
      </c>
      <c r="R43" s="5" t="s">
        <v>96</v>
      </c>
      <c r="S43" s="5" t="s">
        <v>12</v>
      </c>
      <c r="T43" s="25" t="str">
        <f t="shared" si="13"/>
        <v>غير محدد</v>
      </c>
      <c r="U43" s="5" t="str" cm="1">
        <f t="array" ref="U43">IFERROR(MID(S43,MATCH(TRUE,ISNUMBER(1*MID(S43,ROW($1:$12),1)),0),COUNT(1*MID(S43,ROW($1:$12),1))),"غير محدد")</f>
        <v>غير محدد</v>
      </c>
      <c r="V43" s="5" t="s">
        <v>57</v>
      </c>
      <c r="W43" s="26">
        <f>الشمالي!$K45/الشمالي!$P45</f>
        <v>19.760147601476014</v>
      </c>
      <c r="X43" s="22">
        <f t="shared" si="15"/>
        <v>0</v>
      </c>
      <c r="Y43" s="22">
        <f t="shared" si="16"/>
        <v>0.66666666666666663</v>
      </c>
      <c r="Z43" s="22">
        <f t="shared" si="17"/>
        <v>1.4925373134328358E-2</v>
      </c>
      <c r="AA43" s="22" t="str">
        <f t="shared" ca="1" si="18"/>
        <v xml:space="preserve">0 </v>
      </c>
      <c r="AB43" s="5"/>
      <c r="AD43" s="5"/>
      <c r="AE43" s="5"/>
      <c r="AJ43" s="5"/>
    </row>
    <row r="44" spans="1:36" ht="22.15" customHeight="1" x14ac:dyDescent="0.2">
      <c r="A44" s="5" t="s">
        <v>194</v>
      </c>
      <c r="B44" s="5" t="s">
        <v>39</v>
      </c>
      <c r="C44" s="6" t="s">
        <v>27</v>
      </c>
      <c r="D44" s="10">
        <v>45615</v>
      </c>
      <c r="F44" s="45" t="str">
        <f t="shared" ca="1" si="12"/>
        <v xml:space="preserve">0  m 27  D </v>
      </c>
      <c r="G44" s="5">
        <v>19036</v>
      </c>
      <c r="H44" s="5">
        <v>177659</v>
      </c>
      <c r="I44" s="22">
        <f t="shared" si="14"/>
        <v>0.10714908898507816</v>
      </c>
      <c r="J44" s="5">
        <v>161</v>
      </c>
      <c r="K44" s="5">
        <v>3999</v>
      </c>
      <c r="L44" s="5">
        <v>3</v>
      </c>
      <c r="M44" s="5">
        <v>4</v>
      </c>
      <c r="N44" s="5">
        <v>0</v>
      </c>
      <c r="O44" s="5">
        <v>1</v>
      </c>
      <c r="P44" s="5">
        <v>463</v>
      </c>
      <c r="Q44" s="5" t="s">
        <v>13</v>
      </c>
      <c r="R44" s="5" t="s">
        <v>90</v>
      </c>
      <c r="S44" s="5" t="s">
        <v>151</v>
      </c>
      <c r="T44" s="25">
        <f t="shared" si="13"/>
        <v>45645</v>
      </c>
      <c r="U44" s="5" t="str" cm="1">
        <f t="array" ref="U44">IFERROR(MID(S44,MATCH(TRUE,ISNUMBER(1*MID(S44,ROW($1:$11),1)),0),COUNT(1*MID(S44,ROW($1:$11),1))),"غير محدد")</f>
        <v>1</v>
      </c>
      <c r="V44" s="5" t="s">
        <v>93</v>
      </c>
      <c r="W44" s="26">
        <f>الشمالي!$K2/الشمالي!$P2</f>
        <v>11.202898550724637</v>
      </c>
      <c r="X44" s="22">
        <f t="shared" si="15"/>
        <v>0</v>
      </c>
      <c r="Y44" s="22">
        <f t="shared" si="16"/>
        <v>0.75</v>
      </c>
      <c r="Z44" s="22">
        <f t="shared" si="17"/>
        <v>6.2111801242236021E-3</v>
      </c>
      <c r="AA44" s="22" t="str">
        <f t="shared" ca="1" si="18"/>
        <v xml:space="preserve">27   </v>
      </c>
      <c r="AB44" s="5"/>
      <c r="AD44" s="5"/>
      <c r="AE44" s="5"/>
      <c r="AJ44" s="5"/>
    </row>
    <row r="45" spans="1:36" ht="22.15" customHeight="1" x14ac:dyDescent="0.2">
      <c r="A45" s="5" t="s">
        <v>194</v>
      </c>
      <c r="B45" s="5" t="s">
        <v>39</v>
      </c>
      <c r="C45" s="6" t="s">
        <v>27</v>
      </c>
      <c r="D45" s="10">
        <v>45760</v>
      </c>
      <c r="F45" s="45" t="str">
        <f t="shared" ca="1" si="12"/>
        <v xml:space="preserve">8  m 3  D </v>
      </c>
      <c r="G45" s="5">
        <v>19100</v>
      </c>
      <c r="H45" s="5">
        <v>59322</v>
      </c>
      <c r="I45" s="22">
        <f t="shared" si="14"/>
        <v>0.32197161255520718</v>
      </c>
      <c r="J45" s="5">
        <v>85</v>
      </c>
      <c r="K45" s="5">
        <v>5355</v>
      </c>
      <c r="L45" s="5">
        <v>7</v>
      </c>
      <c r="M45" s="5">
        <v>9</v>
      </c>
      <c r="N45" s="5">
        <v>0</v>
      </c>
      <c r="O45" s="5">
        <v>4</v>
      </c>
      <c r="P45" s="5">
        <v>271</v>
      </c>
      <c r="Q45" s="5" t="s">
        <v>13</v>
      </c>
      <c r="R45" s="5" t="s">
        <v>90</v>
      </c>
      <c r="S45" s="5" t="s">
        <v>151</v>
      </c>
      <c r="T45" s="25">
        <f t="shared" si="13"/>
        <v>45790</v>
      </c>
      <c r="U45" s="5" t="str" cm="1">
        <f t="array" ref="U45">IFERROR(MID(S45,MATCH(TRUE,ISNUMBER(1*MID(S45,ROW($1:$11),1)),0),COUNT(1*MID(S45,ROW($1:$11),1))),"غير محدد")</f>
        <v>1</v>
      </c>
      <c r="V45" s="5" t="s">
        <v>57</v>
      </c>
      <c r="W45" s="26">
        <f>الشمالي!$K3/الشمالي!$P3</f>
        <v>19.094527363184081</v>
      </c>
      <c r="X45" s="22">
        <f t="shared" si="15"/>
        <v>0</v>
      </c>
      <c r="Y45" s="22">
        <f t="shared" si="16"/>
        <v>0.77777777777777779</v>
      </c>
      <c r="Z45" s="22">
        <f t="shared" si="17"/>
        <v>4.7058823529411764E-2</v>
      </c>
      <c r="AA45" s="22" t="str">
        <f t="shared" ca="1" si="18"/>
        <v xml:space="preserve">3   </v>
      </c>
      <c r="AB45" s="5"/>
      <c r="AD45" s="5"/>
      <c r="AE45" s="5"/>
      <c r="AJ45" s="5"/>
    </row>
    <row r="46" spans="1:36" ht="22.15" customHeight="1" x14ac:dyDescent="0.2">
      <c r="A46" s="5" t="s">
        <v>193</v>
      </c>
      <c r="B46" s="5" t="s">
        <v>38</v>
      </c>
      <c r="C46" s="33" t="s">
        <v>27</v>
      </c>
      <c r="D46" s="10">
        <v>45575</v>
      </c>
      <c r="E46" s="33"/>
      <c r="F46" s="45" t="str">
        <f t="shared" ca="1" si="12"/>
        <v xml:space="preserve">2  m 6  D </v>
      </c>
      <c r="G46" s="5">
        <v>11320</v>
      </c>
      <c r="H46" s="5">
        <v>78358</v>
      </c>
      <c r="I46" s="22">
        <f t="shared" si="14"/>
        <v>0.14446514714515429</v>
      </c>
      <c r="J46" s="5">
        <v>114</v>
      </c>
      <c r="K46" s="5">
        <v>3749</v>
      </c>
      <c r="L46" s="5">
        <v>1</v>
      </c>
      <c r="M46" s="5">
        <v>49</v>
      </c>
      <c r="N46" s="5">
        <v>0</v>
      </c>
      <c r="O46" s="5">
        <v>3</v>
      </c>
      <c r="P46" s="5">
        <v>362</v>
      </c>
      <c r="Q46" s="5" t="s">
        <v>25</v>
      </c>
      <c r="R46" s="5" t="s">
        <v>90</v>
      </c>
      <c r="S46" s="5" t="s">
        <v>151</v>
      </c>
      <c r="T46" s="25">
        <f t="shared" si="13"/>
        <v>45606</v>
      </c>
      <c r="U46" s="5" t="str" cm="1">
        <f t="array" ref="U46">IFERROR(MID(S46,MATCH(TRUE,ISNUMBER(1*MID(S46,ROW($1:$12),1)),0),COUNT(1*MID(S46,ROW($1:$12),1))),"غير محدد")</f>
        <v>1</v>
      </c>
      <c r="V46" s="5" t="s">
        <v>57</v>
      </c>
      <c r="W46" s="26">
        <f>الشمالي!$K7/الشمالي!$P7</f>
        <v>10.480113636363637</v>
      </c>
      <c r="X46" s="22">
        <f t="shared" si="15"/>
        <v>0</v>
      </c>
      <c r="Y46" s="22">
        <f t="shared" si="16"/>
        <v>2.0408163265306121E-2</v>
      </c>
      <c r="Z46" s="22">
        <f t="shared" si="17"/>
        <v>2.6315789473684209E-2</v>
      </c>
      <c r="AA46" s="22" t="str">
        <f t="shared" ca="1" si="18"/>
        <v xml:space="preserve">6   </v>
      </c>
      <c r="AB46" s="5"/>
      <c r="AD46" s="5"/>
      <c r="AE46" s="5"/>
      <c r="AJ46" s="5"/>
    </row>
    <row r="47" spans="1:36" ht="22.15" customHeight="1" x14ac:dyDescent="0.2">
      <c r="A47" s="5" t="s">
        <v>106</v>
      </c>
      <c r="B47" s="5" t="s">
        <v>39</v>
      </c>
      <c r="C47" s="6" t="s">
        <v>27</v>
      </c>
      <c r="D47" s="10">
        <v>45208</v>
      </c>
      <c r="F47" s="45" t="str">
        <f t="shared" ca="1" si="12"/>
        <v xml:space="preserve">2  m 7  D </v>
      </c>
      <c r="G47" s="5">
        <v>34973</v>
      </c>
      <c r="H47" s="5">
        <v>103415</v>
      </c>
      <c r="I47" s="22">
        <f t="shared" si="14"/>
        <v>0.33818111492530095</v>
      </c>
      <c r="J47" s="5">
        <v>49</v>
      </c>
      <c r="K47" s="5">
        <v>1253</v>
      </c>
      <c r="L47" s="5">
        <v>2</v>
      </c>
      <c r="M47" s="5">
        <v>3</v>
      </c>
      <c r="N47" s="5">
        <v>0</v>
      </c>
      <c r="O47" s="5">
        <v>1</v>
      </c>
      <c r="P47" s="5">
        <v>71</v>
      </c>
      <c r="Q47" s="5" t="s">
        <v>10</v>
      </c>
      <c r="R47" s="5" t="s">
        <v>96</v>
      </c>
      <c r="S47" s="5" t="s">
        <v>12</v>
      </c>
      <c r="T47" s="25" t="str">
        <f t="shared" si="13"/>
        <v>غير محدد</v>
      </c>
      <c r="U47" s="5" t="str" cm="1">
        <f t="array" ref="U47">IFERROR(MID(S47,MATCH(TRUE,ISNUMBER(1*MID(S47,ROW($1:$12),1)),0),COUNT(1*MID(S47,ROW($1:$12),1))),"غير محدد")</f>
        <v>غير محدد</v>
      </c>
      <c r="V47" s="5" t="s">
        <v>93</v>
      </c>
      <c r="W47" s="26">
        <f>الشمالي!$K46/الشمالي!$P46</f>
        <v>10.356353591160222</v>
      </c>
      <c r="X47" s="22">
        <f t="shared" si="15"/>
        <v>0</v>
      </c>
      <c r="Y47" s="22">
        <f t="shared" si="16"/>
        <v>0.66666666666666663</v>
      </c>
      <c r="Z47" s="22">
        <f t="shared" si="17"/>
        <v>2.0408163265306121E-2</v>
      </c>
      <c r="AA47" s="22" t="str">
        <f t="shared" ca="1" si="18"/>
        <v xml:space="preserve">0 </v>
      </c>
      <c r="AB47" s="5"/>
      <c r="AD47" s="5"/>
      <c r="AE47" s="5"/>
      <c r="AJ47" s="5"/>
    </row>
    <row r="48" spans="1:36" ht="22.15" customHeight="1" x14ac:dyDescent="0.2">
      <c r="A48" s="5" t="s">
        <v>106</v>
      </c>
      <c r="B48" s="5" t="s">
        <v>39</v>
      </c>
      <c r="C48" s="6" t="s">
        <v>27</v>
      </c>
      <c r="D48" s="10">
        <v>45287</v>
      </c>
      <c r="F48" s="45" t="str">
        <f t="shared" ca="1" si="12"/>
        <v xml:space="preserve">11  m 19  D </v>
      </c>
      <c r="G48" s="5">
        <v>25197</v>
      </c>
      <c r="H48" s="5">
        <v>91626</v>
      </c>
      <c r="I48" s="22">
        <f t="shared" si="14"/>
        <v>0.274998362910091</v>
      </c>
      <c r="J48" s="5">
        <v>41</v>
      </c>
      <c r="K48" s="5">
        <v>2786</v>
      </c>
      <c r="L48" s="5">
        <v>3</v>
      </c>
      <c r="M48" s="5">
        <v>3</v>
      </c>
      <c r="N48" s="5">
        <v>2</v>
      </c>
      <c r="O48" s="5">
        <v>13</v>
      </c>
      <c r="P48" s="5">
        <v>436</v>
      </c>
      <c r="Q48" s="5" t="s">
        <v>97</v>
      </c>
      <c r="R48" s="5" t="s">
        <v>90</v>
      </c>
      <c r="S48" s="5" t="s">
        <v>99</v>
      </c>
      <c r="T48" s="25" t="str">
        <f t="shared" si="13"/>
        <v>غير محدد</v>
      </c>
      <c r="U48" s="5" t="str" cm="1">
        <f t="array" ref="U48">IFERROR(MID(S48,MATCH(TRUE,ISNUMBER(1*MID(S48,ROW($1:$12),1)),0),COUNT(1*MID(S48,ROW($1:$12),1))),"غير محدد")</f>
        <v>غير محدد</v>
      </c>
      <c r="V48" s="5" t="s">
        <v>57</v>
      </c>
      <c r="W48" s="26">
        <f>الشمالي!$K47/الشمالي!$P47</f>
        <v>17.64788732394366</v>
      </c>
      <c r="X48" s="22">
        <f t="shared" si="15"/>
        <v>0.66666666666666663</v>
      </c>
      <c r="Y48" s="22">
        <f t="shared" si="16"/>
        <v>1</v>
      </c>
      <c r="Z48" s="22">
        <f t="shared" si="17"/>
        <v>0.31707317073170732</v>
      </c>
      <c r="AA48" s="22" t="str">
        <f t="shared" ca="1" si="18"/>
        <v xml:space="preserve">0 </v>
      </c>
      <c r="AB48" s="5"/>
      <c r="AD48" s="5"/>
      <c r="AE48" s="5"/>
      <c r="AJ48" s="5"/>
    </row>
    <row r="49" spans="1:36" ht="22.15" customHeight="1" x14ac:dyDescent="0.2">
      <c r="A49" s="5" t="s">
        <v>131</v>
      </c>
      <c r="B49" s="5" t="s">
        <v>144</v>
      </c>
      <c r="C49" s="6" t="s">
        <v>28</v>
      </c>
      <c r="D49" s="10">
        <v>45287</v>
      </c>
      <c r="F49" s="45" t="str">
        <f t="shared" ca="1" si="12"/>
        <v xml:space="preserve">11  m 19  D </v>
      </c>
      <c r="G49" s="5">
        <v>6877</v>
      </c>
      <c r="H49" s="5">
        <v>23127</v>
      </c>
      <c r="I49" s="22">
        <f t="shared" si="14"/>
        <v>0.29735806632939854</v>
      </c>
      <c r="J49" s="5">
        <v>28</v>
      </c>
      <c r="K49" s="5">
        <v>2058</v>
      </c>
      <c r="L49" s="5">
        <v>2</v>
      </c>
      <c r="M49" s="5">
        <v>3</v>
      </c>
      <c r="N49" s="5">
        <v>0</v>
      </c>
      <c r="O49" s="5">
        <v>4</v>
      </c>
      <c r="P49" s="5">
        <v>626</v>
      </c>
      <c r="Q49" s="5" t="s">
        <v>13</v>
      </c>
      <c r="R49" s="5" t="s">
        <v>90</v>
      </c>
      <c r="S49" s="5" t="s">
        <v>99</v>
      </c>
      <c r="T49" s="25" t="str">
        <f t="shared" si="13"/>
        <v>غير محدد</v>
      </c>
      <c r="U49" s="5" t="str" cm="1">
        <f t="array" ref="U49">IFERROR(MID(S49,MATCH(TRUE,ISNUMBER(1*MID(S49,ROW($1:$12),1)),0),COUNT(1*MID(S49,ROW($1:$12),1))),"غير محدد")</f>
        <v>غير محدد</v>
      </c>
      <c r="V49" s="5" t="s">
        <v>57</v>
      </c>
      <c r="W49" s="26">
        <f>الشمالي!$K48/الشمالي!$P48</f>
        <v>6.3899082568807337</v>
      </c>
      <c r="X49" s="22">
        <f t="shared" si="15"/>
        <v>0</v>
      </c>
      <c r="Y49" s="22">
        <f t="shared" si="16"/>
        <v>0.66666666666666663</v>
      </c>
      <c r="Z49" s="22">
        <f t="shared" si="17"/>
        <v>0.14285714285714285</v>
      </c>
      <c r="AA49" s="22" t="str">
        <f t="shared" ca="1" si="18"/>
        <v xml:space="preserve">0 </v>
      </c>
      <c r="AB49" s="5"/>
      <c r="AD49" s="5"/>
      <c r="AE49" s="5"/>
      <c r="AJ49" s="5"/>
    </row>
    <row r="50" spans="1:36" ht="22.15" customHeight="1" x14ac:dyDescent="0.2">
      <c r="A50" s="5" t="s">
        <v>131</v>
      </c>
      <c r="B50" s="5" t="s">
        <v>132</v>
      </c>
      <c r="C50" s="6" t="s">
        <v>28</v>
      </c>
      <c r="D50" s="10">
        <v>45245</v>
      </c>
      <c r="F50" s="45" t="str">
        <f t="shared" ca="1" si="12"/>
        <v xml:space="preserve">1  m 1  D </v>
      </c>
      <c r="G50" s="5">
        <v>5514</v>
      </c>
      <c r="H50" s="5">
        <v>23201</v>
      </c>
      <c r="I50" s="22">
        <f t="shared" si="14"/>
        <v>0.23766216973406318</v>
      </c>
      <c r="J50" s="5">
        <v>9</v>
      </c>
      <c r="K50" s="5">
        <v>3875</v>
      </c>
      <c r="L50" s="5">
        <v>4</v>
      </c>
      <c r="M50" s="5">
        <v>3</v>
      </c>
      <c r="N50" s="5">
        <v>0</v>
      </c>
      <c r="O50" s="5">
        <v>2</v>
      </c>
      <c r="P50" s="5">
        <v>756</v>
      </c>
      <c r="Q50" s="5" t="s">
        <v>13</v>
      </c>
      <c r="R50" s="5" t="s">
        <v>90</v>
      </c>
      <c r="S50" s="5" t="s">
        <v>12</v>
      </c>
      <c r="T50" s="25" t="str">
        <f t="shared" si="13"/>
        <v>غير محدد</v>
      </c>
      <c r="U50" s="5" t="str" cm="1">
        <f t="array" ref="U50">IFERROR(MID(S50,MATCH(TRUE,ISNUMBER(1*MID(S50,ROW($1:$12),1)),0),COUNT(1*MID(S50,ROW($1:$12),1))),"غير محدد")</f>
        <v>غير محدد</v>
      </c>
      <c r="V50" s="5" t="s">
        <v>93</v>
      </c>
      <c r="W50" s="26">
        <f>الشمالي!$K49/الشمالي!$P49</f>
        <v>3.2875399361022364</v>
      </c>
      <c r="X50" s="22">
        <f t="shared" si="15"/>
        <v>0</v>
      </c>
      <c r="Y50" s="22">
        <f t="shared" si="16"/>
        <v>1.3333333333333333</v>
      </c>
      <c r="Z50" s="22">
        <f t="shared" si="17"/>
        <v>0.22222222222222221</v>
      </c>
      <c r="AA50" s="22" t="str">
        <f t="shared" ca="1" si="18"/>
        <v xml:space="preserve">0 </v>
      </c>
      <c r="AB50" s="5"/>
      <c r="AD50" s="5"/>
      <c r="AE50" s="5"/>
      <c r="AJ50" s="5"/>
    </row>
    <row r="51" spans="1:36" ht="22.15" customHeight="1" x14ac:dyDescent="0.2">
      <c r="A51" s="5" t="s">
        <v>131</v>
      </c>
      <c r="B51" s="5" t="s">
        <v>132</v>
      </c>
      <c r="C51" s="6" t="s">
        <v>28</v>
      </c>
      <c r="D51" s="10">
        <v>45287</v>
      </c>
      <c r="F51" s="45" t="str">
        <f t="shared" ca="1" si="12"/>
        <v xml:space="preserve">11  m 19  D </v>
      </c>
      <c r="G51" s="5">
        <v>8338</v>
      </c>
      <c r="H51" s="5">
        <v>24284</v>
      </c>
      <c r="I51" s="22">
        <f t="shared" si="14"/>
        <v>0.34335364849283478</v>
      </c>
      <c r="J51" s="5">
        <v>22</v>
      </c>
      <c r="K51" s="5">
        <v>2250</v>
      </c>
      <c r="L51" s="5">
        <v>3</v>
      </c>
      <c r="M51" s="5">
        <v>1</v>
      </c>
      <c r="N51" s="5">
        <v>0</v>
      </c>
      <c r="O51" s="5">
        <v>3</v>
      </c>
      <c r="P51" s="5">
        <v>667</v>
      </c>
      <c r="Q51" s="5" t="s">
        <v>25</v>
      </c>
      <c r="R51" s="5" t="s">
        <v>90</v>
      </c>
      <c r="S51" s="5" t="s">
        <v>99</v>
      </c>
      <c r="T51" s="25" t="str">
        <f t="shared" si="13"/>
        <v>غير محدد</v>
      </c>
      <c r="U51" s="5" t="str" cm="1">
        <f t="array" ref="U51">IFERROR(MID(S51,MATCH(TRUE,ISNUMBER(1*MID(S51,ROW($1:$12),1)),0),COUNT(1*MID(S51,ROW($1:$12),1))),"غير محدد")</f>
        <v>غير محدد</v>
      </c>
      <c r="V51" s="5" t="s">
        <v>93</v>
      </c>
      <c r="W51" s="26">
        <f>الشمالي!$K50/الشمالي!$P50</f>
        <v>5.1256613756613758</v>
      </c>
      <c r="X51" s="22">
        <f t="shared" si="15"/>
        <v>0</v>
      </c>
      <c r="Y51" s="22">
        <f t="shared" si="16"/>
        <v>3</v>
      </c>
      <c r="Z51" s="22">
        <f t="shared" si="17"/>
        <v>0.13636363636363635</v>
      </c>
      <c r="AA51" s="22" t="str">
        <f t="shared" ca="1" si="18"/>
        <v xml:space="preserve">0 </v>
      </c>
      <c r="AB51" s="5"/>
      <c r="AD51" s="5"/>
      <c r="AE51" s="5"/>
      <c r="AJ51" s="5"/>
    </row>
    <row r="52" spans="1:36" ht="22.15" customHeight="1" x14ac:dyDescent="0.2">
      <c r="A52" s="5" t="s">
        <v>131</v>
      </c>
      <c r="B52" s="5" t="s">
        <v>132</v>
      </c>
      <c r="C52" s="6" t="s">
        <v>28</v>
      </c>
      <c r="D52" s="10">
        <v>45560</v>
      </c>
      <c r="F52" s="45" t="str">
        <f t="shared" ca="1" si="12"/>
        <v xml:space="preserve">2  m 21  D </v>
      </c>
      <c r="G52" s="5">
        <v>5001</v>
      </c>
      <c r="H52" s="5">
        <v>85658</v>
      </c>
      <c r="I52" s="22">
        <f t="shared" si="14"/>
        <v>5.8383338392210882E-2</v>
      </c>
      <c r="J52" s="5">
        <v>71</v>
      </c>
      <c r="K52" s="5">
        <v>1910</v>
      </c>
      <c r="L52" s="5">
        <v>4</v>
      </c>
      <c r="M52" s="5">
        <v>1</v>
      </c>
      <c r="N52" s="5">
        <v>0</v>
      </c>
      <c r="O52" s="5">
        <v>4</v>
      </c>
      <c r="P52" s="5">
        <v>413</v>
      </c>
      <c r="Q52" s="5" t="s">
        <v>13</v>
      </c>
      <c r="R52" s="5" t="s">
        <v>90</v>
      </c>
      <c r="S52" s="5" t="s">
        <v>151</v>
      </c>
      <c r="T52" s="25">
        <f t="shared" si="13"/>
        <v>45590</v>
      </c>
      <c r="U52" s="5" t="str" cm="1">
        <f t="array" ref="U52">IFERROR(MID(S52,MATCH(TRUE,ISNUMBER(1*MID(S52,ROW($1:$12),1)),0),COUNT(1*MID(S52,ROW($1:$12),1))),"غير محدد")</f>
        <v>1</v>
      </c>
      <c r="V52" s="5" t="s">
        <v>57</v>
      </c>
      <c r="W52" s="26">
        <f>الشمالي!$K51/الشمالي!$P51</f>
        <v>3.373313343328336</v>
      </c>
      <c r="X52" s="22">
        <f t="shared" si="15"/>
        <v>0</v>
      </c>
      <c r="Y52" s="22">
        <f t="shared" si="16"/>
        <v>4</v>
      </c>
      <c r="Z52" s="22">
        <f t="shared" si="17"/>
        <v>5.6338028169014086E-2</v>
      </c>
      <c r="AA52" s="22" t="str">
        <f t="shared" ca="1" si="18"/>
        <v xml:space="preserve">21   </v>
      </c>
      <c r="AB52" s="5"/>
      <c r="AD52" s="5"/>
      <c r="AE52" s="5"/>
      <c r="AJ52" s="5"/>
    </row>
    <row r="53" spans="1:36" ht="22.15" customHeight="1" x14ac:dyDescent="0.2">
      <c r="A53" s="5" t="s">
        <v>131</v>
      </c>
      <c r="B53" s="5" t="s">
        <v>145</v>
      </c>
      <c r="C53" s="6" t="s">
        <v>28</v>
      </c>
      <c r="D53" s="10">
        <v>45287</v>
      </c>
      <c r="F53" s="45" t="str">
        <f t="shared" ca="1" si="12"/>
        <v xml:space="preserve">11  m 19  D </v>
      </c>
      <c r="G53" s="5">
        <v>7297</v>
      </c>
      <c r="H53" s="5">
        <v>32210</v>
      </c>
      <c r="I53" s="22">
        <f t="shared" si="14"/>
        <v>0.22654455138155852</v>
      </c>
      <c r="J53" s="5">
        <v>22</v>
      </c>
      <c r="K53" s="5">
        <v>2402</v>
      </c>
      <c r="L53" s="5">
        <v>3</v>
      </c>
      <c r="M53" s="5">
        <v>1</v>
      </c>
      <c r="N53" s="5">
        <v>0</v>
      </c>
      <c r="O53" s="5">
        <v>6</v>
      </c>
      <c r="P53" s="5">
        <v>720</v>
      </c>
      <c r="Q53" s="5" t="s">
        <v>25</v>
      </c>
      <c r="R53" s="5" t="s">
        <v>90</v>
      </c>
      <c r="S53" s="5" t="s">
        <v>99</v>
      </c>
      <c r="T53" s="25" t="str">
        <f t="shared" si="13"/>
        <v>غير محدد</v>
      </c>
      <c r="U53" s="5" t="str" cm="1">
        <f t="array" ref="U53">IFERROR(MID(S53,MATCH(TRUE,ISNUMBER(1*MID(S53,ROW($1:$12),1)),0),COUNT(1*MID(S53,ROW($1:$12),1))),"غير محدد")</f>
        <v>غير محدد</v>
      </c>
      <c r="V53" s="5" t="s">
        <v>93</v>
      </c>
      <c r="W53" s="26">
        <f>الشمالي!$K52/الشمالي!$P52</f>
        <v>4.6246973365617432</v>
      </c>
      <c r="X53" s="22">
        <f t="shared" si="15"/>
        <v>0</v>
      </c>
      <c r="Y53" s="22">
        <f t="shared" si="16"/>
        <v>3</v>
      </c>
      <c r="Z53" s="22">
        <f t="shared" si="17"/>
        <v>0.27272727272727271</v>
      </c>
      <c r="AA53" s="22" t="str">
        <f t="shared" ca="1" si="18"/>
        <v xml:space="preserve">0 </v>
      </c>
      <c r="AB53" s="5"/>
      <c r="AD53" s="5"/>
      <c r="AE53" s="5"/>
      <c r="AJ53" s="5"/>
    </row>
    <row r="54" spans="1:36" ht="22.15" customHeight="1" x14ac:dyDescent="0.2">
      <c r="A54" s="5" t="s">
        <v>131</v>
      </c>
      <c r="B54" s="5" t="s">
        <v>145</v>
      </c>
      <c r="C54" s="6" t="s">
        <v>28</v>
      </c>
      <c r="D54" s="10">
        <v>45403</v>
      </c>
      <c r="F54" s="45" t="str">
        <f t="shared" ca="1" si="12"/>
        <v xml:space="preserve">7  m 25  D </v>
      </c>
      <c r="G54" s="5">
        <v>9650</v>
      </c>
      <c r="H54" s="5">
        <v>34096</v>
      </c>
      <c r="I54" s="22">
        <f t="shared" si="14"/>
        <v>0.28302440168934773</v>
      </c>
      <c r="J54" s="5">
        <v>47</v>
      </c>
      <c r="K54" s="5">
        <v>2229</v>
      </c>
      <c r="L54" s="5">
        <v>2</v>
      </c>
      <c r="M54" s="5">
        <v>2</v>
      </c>
      <c r="N54" s="5">
        <v>0</v>
      </c>
      <c r="O54" s="5">
        <v>1</v>
      </c>
      <c r="P54" s="5">
        <v>439</v>
      </c>
      <c r="Q54" s="5" t="s">
        <v>13</v>
      </c>
      <c r="R54" s="5" t="s">
        <v>90</v>
      </c>
      <c r="S54" s="5" t="s">
        <v>151</v>
      </c>
      <c r="T54" s="25">
        <f t="shared" si="13"/>
        <v>45433</v>
      </c>
      <c r="U54" s="5" t="str" cm="1">
        <f t="array" ref="U54">IFERROR(MID(S54,MATCH(TRUE,ISNUMBER(1*MID(S54,ROW($1:$12),1)),0),COUNT(1*MID(S54,ROW($1:$12),1))),"غير محدد")</f>
        <v>1</v>
      </c>
      <c r="V54" s="5" t="s">
        <v>57</v>
      </c>
      <c r="W54" s="26">
        <f>الشمالي!$K53/الشمالي!$P53</f>
        <v>3.3361111111111112</v>
      </c>
      <c r="X54" s="22">
        <f t="shared" si="15"/>
        <v>0</v>
      </c>
      <c r="Y54" s="22">
        <f t="shared" si="16"/>
        <v>1</v>
      </c>
      <c r="Z54" s="22">
        <f t="shared" si="17"/>
        <v>2.1276595744680851E-2</v>
      </c>
      <c r="AA54" s="22" t="str">
        <f t="shared" ca="1" si="18"/>
        <v xml:space="preserve">25   </v>
      </c>
      <c r="AB54" s="5"/>
      <c r="AD54" s="5"/>
      <c r="AE54" s="5"/>
      <c r="AJ54" s="5"/>
    </row>
    <row r="55" spans="1:36" ht="22.15" customHeight="1" x14ac:dyDescent="0.2">
      <c r="A55" s="5" t="s">
        <v>131</v>
      </c>
      <c r="B55" s="5" t="s">
        <v>42</v>
      </c>
      <c r="C55" s="6" t="s">
        <v>27</v>
      </c>
      <c r="D55" s="10">
        <v>45333</v>
      </c>
      <c r="F55" s="45" t="str">
        <f t="shared" ca="1" si="12"/>
        <v xml:space="preserve">10  m 5  D </v>
      </c>
      <c r="G55" s="5">
        <v>23112</v>
      </c>
      <c r="H55" s="5">
        <v>79980</v>
      </c>
      <c r="I55" s="22">
        <f t="shared" si="14"/>
        <v>0.28897224306076519</v>
      </c>
      <c r="J55" s="5">
        <v>42</v>
      </c>
      <c r="K55" s="5">
        <v>1064</v>
      </c>
      <c r="L55" s="5">
        <v>2</v>
      </c>
      <c r="M55" s="5">
        <v>3</v>
      </c>
      <c r="N55" s="5">
        <v>0</v>
      </c>
      <c r="O55" s="5">
        <v>1</v>
      </c>
      <c r="P55" s="5">
        <v>92</v>
      </c>
      <c r="Q55" s="5" t="s">
        <v>10</v>
      </c>
      <c r="R55" s="5" t="s">
        <v>96</v>
      </c>
      <c r="S55" s="5" t="s">
        <v>151</v>
      </c>
      <c r="T55" s="25">
        <f t="shared" si="13"/>
        <v>45362</v>
      </c>
      <c r="U55" s="5" t="str" cm="1">
        <f t="array" ref="U55">IFERROR(MID(S55,MATCH(TRUE,ISNUMBER(1*MID(S55,ROW($1:$12),1)),0),COUNT(1*MID(S55,ROW($1:$12),1))),"غير محدد")</f>
        <v>1</v>
      </c>
      <c r="V55" s="5" t="s">
        <v>57</v>
      </c>
      <c r="W55" s="26">
        <f>الشمالي!$K54/الشمالي!$P54</f>
        <v>5.0774487471526193</v>
      </c>
      <c r="X55" s="22">
        <f t="shared" si="15"/>
        <v>0</v>
      </c>
      <c r="Y55" s="22">
        <f t="shared" si="16"/>
        <v>0.66666666666666663</v>
      </c>
      <c r="Z55" s="22">
        <f t="shared" si="17"/>
        <v>2.3809523809523808E-2</v>
      </c>
      <c r="AA55" s="22" t="str">
        <f t="shared" ca="1" si="18"/>
        <v xml:space="preserve">5   </v>
      </c>
      <c r="AB55" s="5"/>
      <c r="AD55" s="5"/>
      <c r="AE55" s="5"/>
      <c r="AJ55" s="5"/>
    </row>
    <row r="56" spans="1:36" ht="22.15" customHeight="1" x14ac:dyDescent="0.2">
      <c r="A56" s="5" t="s">
        <v>14</v>
      </c>
      <c r="B56" s="5" t="s">
        <v>15</v>
      </c>
      <c r="C56" s="6" t="s">
        <v>16</v>
      </c>
      <c r="D56" s="10">
        <v>44958</v>
      </c>
      <c r="F56" s="45" t="str">
        <f t="shared" ca="1" si="12"/>
        <v xml:space="preserve">10  m 15  D </v>
      </c>
      <c r="G56" s="5">
        <v>2967</v>
      </c>
      <c r="H56" s="5">
        <v>49767</v>
      </c>
      <c r="I56" s="22">
        <f t="shared" si="14"/>
        <v>5.9617819036711074E-2</v>
      </c>
      <c r="J56" s="5">
        <v>79</v>
      </c>
      <c r="K56" s="5">
        <v>10855</v>
      </c>
      <c r="L56" s="5">
        <v>10</v>
      </c>
      <c r="M56" s="5">
        <v>6</v>
      </c>
      <c r="N56" s="5">
        <v>0</v>
      </c>
      <c r="O56" s="5">
        <v>76</v>
      </c>
      <c r="P56" s="5">
        <v>657</v>
      </c>
      <c r="Q56" s="5" t="s">
        <v>11</v>
      </c>
      <c r="R56" s="5">
        <v>2</v>
      </c>
      <c r="S56" s="5" t="s">
        <v>17</v>
      </c>
      <c r="T56" s="25" t="str">
        <f t="shared" si="13"/>
        <v>غير محدد</v>
      </c>
      <c r="U56" s="5" t="str" cm="1">
        <f t="array" ref="U56">IFERROR(MID(S56,MATCH(TRUE,ISNUMBER(1*MID(S56,ROW($1:$12),1)),0),COUNT(1*MID(S56,ROW($1:$12),1))),"غير محدد")</f>
        <v>غير محدد</v>
      </c>
      <c r="V56" s="5" t="s">
        <v>93</v>
      </c>
      <c r="W56" s="26">
        <f>الشمالي!$K55/الشمالي!$P55</f>
        <v>11.565217391304348</v>
      </c>
      <c r="X56" s="22">
        <f t="shared" si="15"/>
        <v>0</v>
      </c>
      <c r="Y56" s="22">
        <f t="shared" si="16"/>
        <v>1.6666666666666667</v>
      </c>
      <c r="Z56" s="22">
        <f t="shared" si="17"/>
        <v>0.96202531645569622</v>
      </c>
      <c r="AA56" s="22" t="str">
        <f t="shared" ca="1" si="18"/>
        <v xml:space="preserve">0 </v>
      </c>
      <c r="AB56" s="5"/>
      <c r="AD56" s="5"/>
      <c r="AE56" s="5"/>
      <c r="AJ56" s="5"/>
    </row>
    <row r="57" spans="1:36" ht="22.15" customHeight="1" x14ac:dyDescent="0.2">
      <c r="A57" s="5" t="s">
        <v>14</v>
      </c>
      <c r="B57" s="5" t="s">
        <v>15</v>
      </c>
      <c r="C57" s="6" t="s">
        <v>16</v>
      </c>
      <c r="D57" s="10">
        <v>45000</v>
      </c>
      <c r="F57" s="45" t="str">
        <f t="shared" ca="1" si="12"/>
        <v xml:space="preserve">9  m 1  D </v>
      </c>
      <c r="G57" s="5">
        <v>1168</v>
      </c>
      <c r="H57" s="5">
        <v>26682</v>
      </c>
      <c r="I57" s="22">
        <f t="shared" si="14"/>
        <v>4.3774829473052994E-2</v>
      </c>
      <c r="J57" s="5">
        <v>23</v>
      </c>
      <c r="K57" s="5">
        <v>979</v>
      </c>
      <c r="L57" s="5">
        <v>2</v>
      </c>
      <c r="M57" s="5">
        <v>5</v>
      </c>
      <c r="N57" s="5">
        <v>0</v>
      </c>
      <c r="O57" s="5">
        <v>1</v>
      </c>
      <c r="P57" s="5">
        <v>169</v>
      </c>
      <c r="Q57" s="5" t="s">
        <v>21</v>
      </c>
      <c r="R57" s="5">
        <v>1</v>
      </c>
      <c r="S57" s="5" t="s">
        <v>22</v>
      </c>
      <c r="T57" s="25" t="str">
        <f t="shared" si="13"/>
        <v>غير محدد</v>
      </c>
      <c r="U57" s="5" t="str" cm="1">
        <f t="array" ref="U57">IFERROR(MID(S57,MATCH(TRUE,ISNUMBER(1*MID(S57,ROW($1:$12),1)),0),COUNT(1*MID(S57,ROW($1:$12),1))),"غير محدد")</f>
        <v>غير محدد</v>
      </c>
      <c r="V57" s="5" t="s">
        <v>93</v>
      </c>
      <c r="W57" s="26">
        <f>الشمالي!$K56/الشمالي!$P56</f>
        <v>16.522070015220699</v>
      </c>
      <c r="X57" s="22">
        <f t="shared" si="15"/>
        <v>0</v>
      </c>
      <c r="Y57" s="22">
        <f t="shared" si="16"/>
        <v>0.4</v>
      </c>
      <c r="Z57" s="22">
        <f t="shared" si="17"/>
        <v>4.3478260869565216E-2</v>
      </c>
      <c r="AA57" s="22" t="str">
        <f t="shared" ca="1" si="18"/>
        <v xml:space="preserve">0 </v>
      </c>
      <c r="AB57" s="5"/>
      <c r="AD57" s="5"/>
      <c r="AE57" s="5"/>
      <c r="AJ57" s="5"/>
    </row>
    <row r="58" spans="1:36" ht="22.15" customHeight="1" x14ac:dyDescent="0.2">
      <c r="A58" s="5" t="s">
        <v>14</v>
      </c>
      <c r="B58" s="5" t="s">
        <v>15</v>
      </c>
      <c r="C58" s="6" t="s">
        <v>16</v>
      </c>
      <c r="D58" s="10">
        <v>45000</v>
      </c>
      <c r="F58" s="45" t="str">
        <f t="shared" ca="1" si="12"/>
        <v xml:space="preserve">9  m 1  D </v>
      </c>
      <c r="G58" s="5">
        <v>2370</v>
      </c>
      <c r="H58" s="5">
        <v>35215</v>
      </c>
      <c r="I58" s="22">
        <f t="shared" si="14"/>
        <v>6.7300866108192525E-2</v>
      </c>
      <c r="J58" s="5">
        <v>85</v>
      </c>
      <c r="K58" s="5">
        <v>2159</v>
      </c>
      <c r="L58" s="5">
        <v>2</v>
      </c>
      <c r="M58" s="5">
        <v>2</v>
      </c>
      <c r="N58" s="5">
        <v>0</v>
      </c>
      <c r="O58" s="5">
        <v>1</v>
      </c>
      <c r="P58" s="5">
        <v>340</v>
      </c>
      <c r="Q58" s="5" t="s">
        <v>21</v>
      </c>
      <c r="R58" s="5">
        <v>1</v>
      </c>
      <c r="S58" s="5" t="s">
        <v>22</v>
      </c>
      <c r="T58" s="25" t="str">
        <f t="shared" si="13"/>
        <v>غير محدد</v>
      </c>
      <c r="U58" s="5" t="str" cm="1">
        <f t="array" ref="U58">IFERROR(MID(S58,MATCH(TRUE,ISNUMBER(1*MID(S58,ROW($1:$12),1)),0),COUNT(1*MID(S58,ROW($1:$12),1))),"غير محدد")</f>
        <v>غير محدد</v>
      </c>
      <c r="V58" s="5" t="s">
        <v>93</v>
      </c>
      <c r="W58" s="26">
        <f>الشمالي!$K57/الشمالي!$P57</f>
        <v>5.7928994082840237</v>
      </c>
      <c r="X58" s="22">
        <f t="shared" si="15"/>
        <v>0</v>
      </c>
      <c r="Y58" s="22">
        <f t="shared" si="16"/>
        <v>1</v>
      </c>
      <c r="Z58" s="22">
        <f t="shared" si="17"/>
        <v>1.1764705882352941E-2</v>
      </c>
      <c r="AA58" s="22" t="str">
        <f t="shared" ca="1" si="18"/>
        <v xml:space="preserve">0 </v>
      </c>
      <c r="AB58" s="5"/>
      <c r="AD58" s="5"/>
      <c r="AE58" s="5"/>
      <c r="AJ58" s="5"/>
    </row>
    <row r="59" spans="1:36" ht="22.15" customHeight="1" x14ac:dyDescent="0.2">
      <c r="A59" s="5" t="s">
        <v>14</v>
      </c>
      <c r="B59" s="5" t="s">
        <v>15</v>
      </c>
      <c r="C59" s="6" t="s">
        <v>16</v>
      </c>
      <c r="D59" s="10">
        <v>45084</v>
      </c>
      <c r="F59" s="45" t="str">
        <f t="shared" ca="1" si="12"/>
        <v xml:space="preserve">6  m 9  D </v>
      </c>
      <c r="G59" s="5">
        <v>708</v>
      </c>
      <c r="H59" s="5">
        <v>63981</v>
      </c>
      <c r="I59" s="22">
        <f t="shared" si="14"/>
        <v>1.106578515496788E-2</v>
      </c>
      <c r="J59" s="5">
        <v>162</v>
      </c>
      <c r="K59" s="5">
        <v>2464</v>
      </c>
      <c r="L59" s="5">
        <v>1</v>
      </c>
      <c r="M59" s="5">
        <v>4</v>
      </c>
      <c r="N59" s="5">
        <v>0</v>
      </c>
      <c r="O59" s="5">
        <v>39</v>
      </c>
      <c r="P59" s="5">
        <v>681</v>
      </c>
      <c r="Q59" s="5" t="s">
        <v>11</v>
      </c>
      <c r="R59" s="5">
        <v>2</v>
      </c>
      <c r="S59" s="5" t="s">
        <v>12</v>
      </c>
      <c r="T59" s="25" t="str">
        <f t="shared" si="13"/>
        <v>غير محدد</v>
      </c>
      <c r="U59" s="5" t="str" cm="1">
        <f t="array" ref="U59">IFERROR(MID(S59,MATCH(TRUE,ISNUMBER(1*MID(S59,ROW($1:$12),1)),0),COUNT(1*MID(S59,ROW($1:$12),1))),"غير محدد")</f>
        <v>غير محدد</v>
      </c>
      <c r="V59" s="5" t="s">
        <v>93</v>
      </c>
      <c r="W59" s="26">
        <f>الشمالي!$K58/الشمالي!$P58</f>
        <v>6.35</v>
      </c>
      <c r="X59" s="22">
        <f t="shared" si="15"/>
        <v>0</v>
      </c>
      <c r="Y59" s="22">
        <f t="shared" si="16"/>
        <v>0.25</v>
      </c>
      <c r="Z59" s="22">
        <f t="shared" si="17"/>
        <v>0.24074074074074073</v>
      </c>
      <c r="AA59" s="22" t="str">
        <f t="shared" ca="1" si="18"/>
        <v xml:space="preserve">0 </v>
      </c>
      <c r="AB59" s="5"/>
      <c r="AD59" s="5"/>
      <c r="AE59" s="5"/>
      <c r="AJ59" s="5"/>
    </row>
    <row r="60" spans="1:36" ht="22.15" customHeight="1" x14ac:dyDescent="0.2">
      <c r="A60" s="5" t="s">
        <v>14</v>
      </c>
      <c r="B60" s="5" t="s">
        <v>15</v>
      </c>
      <c r="C60" s="6" t="s">
        <v>16</v>
      </c>
      <c r="D60" s="10">
        <v>45179</v>
      </c>
      <c r="F60" s="45" t="str">
        <f t="shared" ca="1" si="12"/>
        <v xml:space="preserve">3  m 6  D </v>
      </c>
      <c r="G60" s="5">
        <v>957</v>
      </c>
      <c r="H60" s="5">
        <v>90394</v>
      </c>
      <c r="I60" s="22">
        <f t="shared" si="14"/>
        <v>1.0586985861893489E-2</v>
      </c>
      <c r="J60" s="5">
        <v>87</v>
      </c>
      <c r="K60" s="5">
        <v>1698</v>
      </c>
      <c r="L60" s="5">
        <v>2</v>
      </c>
      <c r="M60" s="5">
        <v>16</v>
      </c>
      <c r="N60" s="5">
        <v>0</v>
      </c>
      <c r="O60" s="5">
        <v>5</v>
      </c>
      <c r="P60" s="5">
        <v>217</v>
      </c>
      <c r="Q60" s="5" t="s">
        <v>10</v>
      </c>
      <c r="R60" s="5" t="s">
        <v>96</v>
      </c>
      <c r="S60" s="5" t="s">
        <v>12</v>
      </c>
      <c r="T60" s="25" t="str">
        <f t="shared" si="13"/>
        <v>غير محدد</v>
      </c>
      <c r="U60" s="5" t="str" cm="1">
        <f t="array" ref="U60">IFERROR(MID(S60,MATCH(TRUE,ISNUMBER(1*MID(S60,ROW($1:$12),1)),0),COUNT(1*MID(S60,ROW($1:$12),1))),"غير محدد")</f>
        <v>غير محدد</v>
      </c>
      <c r="V60" s="5" t="s">
        <v>57</v>
      </c>
      <c r="W60" s="26">
        <f>الشمالي!$K59/الشمالي!$P59</f>
        <v>3.6182085168869311</v>
      </c>
      <c r="X60" s="22">
        <f t="shared" si="15"/>
        <v>0</v>
      </c>
      <c r="Y60" s="22">
        <f t="shared" si="16"/>
        <v>0.125</v>
      </c>
      <c r="Z60" s="22">
        <f t="shared" si="17"/>
        <v>5.7471264367816091E-2</v>
      </c>
      <c r="AA60" s="22" t="str">
        <f t="shared" ca="1" si="18"/>
        <v xml:space="preserve">0 </v>
      </c>
      <c r="AB60" s="5"/>
      <c r="AD60" s="5"/>
      <c r="AE60" s="5"/>
      <c r="AJ60" s="5"/>
    </row>
    <row r="61" spans="1:36" ht="22.15" customHeight="1" x14ac:dyDescent="0.2">
      <c r="A61" s="5" t="s">
        <v>14</v>
      </c>
      <c r="B61" s="5" t="s">
        <v>24</v>
      </c>
      <c r="C61" s="6" t="s">
        <v>16</v>
      </c>
      <c r="D61" s="10">
        <v>45084</v>
      </c>
      <c r="F61" s="45" t="str">
        <f t="shared" ca="1" si="12"/>
        <v xml:space="preserve">6  m 9  D </v>
      </c>
      <c r="G61" s="5">
        <v>1121</v>
      </c>
      <c r="H61" s="5">
        <v>79761</v>
      </c>
      <c r="I61" s="22">
        <f t="shared" si="14"/>
        <v>1.4054487782249471E-2</v>
      </c>
      <c r="J61" s="5">
        <v>254</v>
      </c>
      <c r="K61" s="5">
        <v>4890</v>
      </c>
      <c r="L61" s="5">
        <v>5</v>
      </c>
      <c r="M61" s="5">
        <v>11</v>
      </c>
      <c r="N61" s="5">
        <v>0</v>
      </c>
      <c r="O61" s="5">
        <v>59</v>
      </c>
      <c r="P61" s="5">
        <v>791</v>
      </c>
      <c r="Q61" s="5" t="s">
        <v>11</v>
      </c>
      <c r="R61" s="5">
        <v>2</v>
      </c>
      <c r="S61" s="5" t="s">
        <v>12</v>
      </c>
      <c r="T61" s="25" t="str">
        <f t="shared" si="13"/>
        <v>غير محدد</v>
      </c>
      <c r="U61" s="5" t="str" cm="1">
        <f t="array" ref="U61">IFERROR(MID(S61,MATCH(TRUE,ISNUMBER(1*MID(S61,ROW($1:$12),1)),0),COUNT(1*MID(S61,ROW($1:$12),1))),"غير محدد")</f>
        <v>غير محدد</v>
      </c>
      <c r="V61" s="5" t="s">
        <v>93</v>
      </c>
      <c r="W61" s="26">
        <f>الشمالي!$K60/الشمالي!$P60</f>
        <v>7.8248847926267278</v>
      </c>
      <c r="X61" s="22">
        <f t="shared" si="15"/>
        <v>0</v>
      </c>
      <c r="Y61" s="22">
        <f t="shared" si="16"/>
        <v>0.45454545454545453</v>
      </c>
      <c r="Z61" s="22">
        <f t="shared" si="17"/>
        <v>0.23228346456692914</v>
      </c>
      <c r="AA61" s="22" t="str">
        <f t="shared" ca="1" si="18"/>
        <v xml:space="preserve">0 </v>
      </c>
      <c r="AB61" s="5"/>
      <c r="AD61" s="5"/>
      <c r="AE61" s="5"/>
      <c r="AJ61" s="5"/>
    </row>
    <row r="62" spans="1:36" ht="22.15" customHeight="1" x14ac:dyDescent="0.2">
      <c r="A62" s="5" t="s">
        <v>14</v>
      </c>
      <c r="B62" s="5" t="s">
        <v>24</v>
      </c>
      <c r="C62" s="6" t="s">
        <v>16</v>
      </c>
      <c r="D62" s="10">
        <v>45208</v>
      </c>
      <c r="F62" s="45" t="str">
        <f t="shared" ca="1" si="12"/>
        <v xml:space="preserve">2  m 7  D </v>
      </c>
      <c r="G62" s="5">
        <v>341</v>
      </c>
      <c r="H62" s="5">
        <v>108946</v>
      </c>
      <c r="I62" s="22">
        <f t="shared" si="14"/>
        <v>3.1299910047179334E-3</v>
      </c>
      <c r="J62" s="5">
        <v>109</v>
      </c>
      <c r="K62" s="5">
        <v>2553</v>
      </c>
      <c r="L62" s="5">
        <v>3</v>
      </c>
      <c r="M62" s="5">
        <v>31</v>
      </c>
      <c r="N62" s="5">
        <v>0</v>
      </c>
      <c r="O62" s="5">
        <v>5</v>
      </c>
      <c r="P62" s="5">
        <v>220</v>
      </c>
      <c r="Q62" s="5" t="s">
        <v>25</v>
      </c>
      <c r="R62" s="5" t="s">
        <v>90</v>
      </c>
      <c r="S62" s="5" t="s">
        <v>99</v>
      </c>
      <c r="T62" s="25" t="str">
        <f t="shared" si="13"/>
        <v>غير محدد</v>
      </c>
      <c r="U62" s="5" t="str" cm="1">
        <f t="array" ref="U62">IFERROR(MID(S62,MATCH(TRUE,ISNUMBER(1*MID(S62,ROW($1:$12),1)),0),COUNT(1*MID(S62,ROW($1:$12),1))),"غير محدد")</f>
        <v>غير محدد</v>
      </c>
      <c r="V62" s="5" t="s">
        <v>93</v>
      </c>
      <c r="W62" s="26">
        <f>الشمالي!$K61/الشمالي!$P61</f>
        <v>6.1820480404551201</v>
      </c>
      <c r="X62" s="22">
        <f t="shared" si="15"/>
        <v>0</v>
      </c>
      <c r="Y62" s="22">
        <f t="shared" si="16"/>
        <v>9.6774193548387094E-2</v>
      </c>
      <c r="Z62" s="22">
        <f t="shared" si="17"/>
        <v>4.5871559633027525E-2</v>
      </c>
      <c r="AA62" s="22" t="str">
        <f t="shared" ca="1" si="18"/>
        <v xml:space="preserve">0 </v>
      </c>
      <c r="AB62" s="5"/>
      <c r="AD62" s="5"/>
      <c r="AE62" s="5"/>
      <c r="AJ62" s="5"/>
    </row>
    <row r="63" spans="1:36" ht="22.15" customHeight="1" x14ac:dyDescent="0.2">
      <c r="A63" s="5" t="s">
        <v>14</v>
      </c>
      <c r="B63" s="5" t="s">
        <v>24</v>
      </c>
      <c r="C63" s="6" t="s">
        <v>16</v>
      </c>
      <c r="D63" s="10">
        <v>45333</v>
      </c>
      <c r="F63" s="45" t="str">
        <f t="shared" ca="1" si="12"/>
        <v xml:space="preserve">10  m 5  D </v>
      </c>
      <c r="G63" s="5">
        <v>2229</v>
      </c>
      <c r="H63" s="5">
        <v>39605</v>
      </c>
      <c r="I63" s="22">
        <f t="shared" si="14"/>
        <v>5.6280772629718472E-2</v>
      </c>
      <c r="J63" s="5">
        <v>82</v>
      </c>
      <c r="K63" s="5">
        <v>2135</v>
      </c>
      <c r="L63" s="5">
        <v>3</v>
      </c>
      <c r="M63" s="5">
        <v>8</v>
      </c>
      <c r="N63" s="5">
        <v>0</v>
      </c>
      <c r="O63" s="5">
        <v>14</v>
      </c>
      <c r="P63" s="5">
        <v>319</v>
      </c>
      <c r="Q63" s="5" t="s">
        <v>10</v>
      </c>
      <c r="R63" s="5" t="s">
        <v>90</v>
      </c>
      <c r="S63" s="5" t="s">
        <v>151</v>
      </c>
      <c r="T63" s="25">
        <f t="shared" si="13"/>
        <v>45362</v>
      </c>
      <c r="U63" s="5" t="str" cm="1">
        <f t="array" ref="U63">IFERROR(MID(S63,MATCH(TRUE,ISNUMBER(1*MID(S63,ROW($1:$12),1)),0),COUNT(1*MID(S63,ROW($1:$12),1))),"غير محدد")</f>
        <v>1</v>
      </c>
      <c r="V63" s="5" t="s">
        <v>57</v>
      </c>
      <c r="W63" s="26">
        <f>الشمالي!$K62/الشمالي!$P62</f>
        <v>11.604545454545455</v>
      </c>
      <c r="X63" s="22">
        <f t="shared" si="15"/>
        <v>0</v>
      </c>
      <c r="Y63" s="22">
        <f t="shared" si="16"/>
        <v>0.375</v>
      </c>
      <c r="Z63" s="22">
        <f t="shared" si="17"/>
        <v>0.17073170731707318</v>
      </c>
      <c r="AA63" s="22" t="str">
        <f t="shared" ca="1" si="18"/>
        <v xml:space="preserve">5   </v>
      </c>
      <c r="AB63" s="5"/>
      <c r="AD63" s="5"/>
      <c r="AE63" s="5"/>
      <c r="AJ63" s="5"/>
    </row>
    <row r="64" spans="1:36" ht="22.15" customHeight="1" x14ac:dyDescent="0.2">
      <c r="A64" s="5" t="s">
        <v>14</v>
      </c>
      <c r="B64" s="5" t="s">
        <v>18</v>
      </c>
      <c r="C64" s="6" t="s">
        <v>19</v>
      </c>
      <c r="D64" s="10">
        <v>43999</v>
      </c>
      <c r="F64" s="45" t="str">
        <f t="shared" ca="1" si="12"/>
        <v xml:space="preserve">5  m 29  D </v>
      </c>
      <c r="G64" s="5">
        <v>7890</v>
      </c>
      <c r="H64" s="5">
        <v>63962</v>
      </c>
      <c r="I64" s="22">
        <f t="shared" si="14"/>
        <v>0.12335449172946437</v>
      </c>
      <c r="J64" s="5">
        <v>331</v>
      </c>
      <c r="K64" s="5">
        <v>8218</v>
      </c>
      <c r="L64" s="5">
        <v>14</v>
      </c>
      <c r="M64" s="5">
        <v>11</v>
      </c>
      <c r="N64" s="5">
        <v>0</v>
      </c>
      <c r="O64" s="5">
        <v>18</v>
      </c>
      <c r="P64" s="5">
        <v>1025</v>
      </c>
      <c r="Q64" s="5" t="s">
        <v>25</v>
      </c>
      <c r="R64" s="5">
        <v>2</v>
      </c>
      <c r="S64" s="5" t="s">
        <v>22</v>
      </c>
      <c r="T64" s="25" t="str">
        <f t="shared" si="13"/>
        <v>غير محدد</v>
      </c>
      <c r="U64" s="5" t="str" cm="1">
        <f t="array" ref="U64">IFERROR(MID(S64,MATCH(TRUE,ISNUMBER(1*MID(S64,ROW($1:$12),1)),0),COUNT(1*MID(S64,ROW($1:$12),1))),"غير محدد")</f>
        <v>غير محدد</v>
      </c>
      <c r="V64" s="5" t="s">
        <v>93</v>
      </c>
      <c r="W64" s="22">
        <f>الشمالي!$K63/الشمالي!$P63</f>
        <v>6.692789968652038</v>
      </c>
      <c r="X64" s="22">
        <f t="shared" si="15"/>
        <v>0</v>
      </c>
      <c r="Y64" s="22">
        <f t="shared" si="16"/>
        <v>1.2727272727272727</v>
      </c>
      <c r="Z64" s="22">
        <f t="shared" si="17"/>
        <v>5.4380664652567974E-2</v>
      </c>
      <c r="AA64" s="22" t="str">
        <f t="shared" ca="1" si="18"/>
        <v xml:space="preserve">0 </v>
      </c>
      <c r="AB64" s="5"/>
      <c r="AD64" s="5"/>
      <c r="AE64" s="5"/>
      <c r="AJ64" s="5"/>
    </row>
    <row r="65" spans="1:36" ht="22.15" customHeight="1" x14ac:dyDescent="0.2">
      <c r="A65" s="5" t="s">
        <v>14</v>
      </c>
      <c r="B65" s="5" t="s">
        <v>18</v>
      </c>
      <c r="C65" s="6" t="s">
        <v>19</v>
      </c>
      <c r="D65" s="10">
        <v>44188</v>
      </c>
      <c r="F65" s="45" t="str">
        <f t="shared" ca="1" si="12"/>
        <v xml:space="preserve">11  m 23  D </v>
      </c>
      <c r="G65" s="5">
        <v>5259</v>
      </c>
      <c r="H65" s="5">
        <v>34717</v>
      </c>
      <c r="I65" s="22">
        <f t="shared" si="14"/>
        <v>0.15148198289022669</v>
      </c>
      <c r="J65" s="5">
        <v>5</v>
      </c>
      <c r="K65" s="5">
        <v>481</v>
      </c>
      <c r="L65" s="5">
        <v>3</v>
      </c>
      <c r="M65" s="5">
        <v>3</v>
      </c>
      <c r="N65" s="5">
        <v>0</v>
      </c>
      <c r="O65" s="5">
        <v>1</v>
      </c>
      <c r="P65" s="5">
        <v>63</v>
      </c>
      <c r="Q65" s="5" t="s">
        <v>21</v>
      </c>
      <c r="R65" s="5">
        <v>1</v>
      </c>
      <c r="S65" s="5" t="s">
        <v>22</v>
      </c>
      <c r="T65" s="25" t="str">
        <f t="shared" si="13"/>
        <v>غير محدد</v>
      </c>
      <c r="U65" s="5" t="str" cm="1">
        <f t="array" ref="U65">IFERROR(MID(S65,MATCH(TRUE,ISNUMBER(1*MID(S65,ROW($1:$12),1)),0),COUNT(1*MID(S65,ROW($1:$12),1))),"غير محدد")</f>
        <v>غير محدد</v>
      </c>
      <c r="V65" s="5" t="s">
        <v>93</v>
      </c>
      <c r="W65" s="22">
        <f>الشمالي!$K64/الشمالي!$P64</f>
        <v>8.0175609756097561</v>
      </c>
      <c r="X65" s="22">
        <f t="shared" si="15"/>
        <v>0</v>
      </c>
      <c r="Y65" s="22">
        <f t="shared" si="16"/>
        <v>1</v>
      </c>
      <c r="Z65" s="22">
        <f t="shared" si="17"/>
        <v>0.2</v>
      </c>
      <c r="AA65" s="22" t="str">
        <f t="shared" ca="1" si="18"/>
        <v xml:space="preserve">0 </v>
      </c>
      <c r="AB65" s="5"/>
      <c r="AD65" s="5"/>
      <c r="AE65" s="5"/>
      <c r="AJ65" s="5"/>
    </row>
    <row r="66" spans="1:36" ht="22.15" customHeight="1" x14ac:dyDescent="0.2">
      <c r="A66" s="5" t="s">
        <v>14</v>
      </c>
      <c r="B66" s="5" t="s">
        <v>18</v>
      </c>
      <c r="C66" s="6" t="s">
        <v>19</v>
      </c>
      <c r="D66" s="10">
        <v>44375</v>
      </c>
      <c r="F66" s="45" t="str">
        <f t="shared" ref="F66:F97" ca="1" si="19">IFERROR(DATEDIF(D66,TODAY(),"YM") &amp; "  m " &amp; DATEDIF(D66,TODAY(),"MD") &amp; "  D "," ")</f>
        <v xml:space="preserve">5  m 18  D </v>
      </c>
      <c r="G66" s="5">
        <v>6258</v>
      </c>
      <c r="H66" s="5">
        <v>47849</v>
      </c>
      <c r="I66" s="22">
        <f t="shared" si="14"/>
        <v>0.13078643231833476</v>
      </c>
      <c r="J66" s="5">
        <v>193</v>
      </c>
      <c r="K66" s="5">
        <v>3055</v>
      </c>
      <c r="L66" s="5">
        <v>4</v>
      </c>
      <c r="M66" s="5">
        <v>8</v>
      </c>
      <c r="N66" s="5">
        <v>0</v>
      </c>
      <c r="O66" s="5">
        <v>8</v>
      </c>
      <c r="P66" s="5">
        <v>458</v>
      </c>
      <c r="Q66" s="5" t="s">
        <v>21</v>
      </c>
      <c r="R66" s="5">
        <v>1</v>
      </c>
      <c r="S66" s="5" t="s">
        <v>22</v>
      </c>
      <c r="T66" s="25" t="str">
        <f t="shared" ref="T66:T97" si="20">IFERROR(IF(U66&gt;=1,EDATE(D66,U66),"غير محدد"),"غير محدد")</f>
        <v>غير محدد</v>
      </c>
      <c r="U66" s="5" t="str" cm="1">
        <f t="array" ref="U66">IFERROR(MID(S66,MATCH(TRUE,ISNUMBER(1*MID(S66,ROW($1:$12),1)),0),COUNT(1*MID(S66,ROW($1:$12),1))),"غير محدد")</f>
        <v>غير محدد</v>
      </c>
      <c r="V66" s="5" t="s">
        <v>93</v>
      </c>
      <c r="W66" s="22">
        <f>الشمالي!$K65/الشمالي!$P65</f>
        <v>7.6349206349206353</v>
      </c>
      <c r="X66" s="22">
        <f t="shared" si="15"/>
        <v>0</v>
      </c>
      <c r="Y66" s="22">
        <f t="shared" si="16"/>
        <v>0.5</v>
      </c>
      <c r="Z66" s="22">
        <f t="shared" si="17"/>
        <v>4.145077720207254E-2</v>
      </c>
      <c r="AA66" s="22" t="str">
        <f t="shared" ca="1" si="18"/>
        <v xml:space="preserve">0 </v>
      </c>
      <c r="AB66" s="5"/>
      <c r="AD66" s="5"/>
      <c r="AE66" s="5"/>
      <c r="AJ66" s="5"/>
    </row>
    <row r="67" spans="1:36" ht="22.15" customHeight="1" x14ac:dyDescent="0.2">
      <c r="A67" s="5" t="s">
        <v>14</v>
      </c>
      <c r="B67" s="5" t="s">
        <v>18</v>
      </c>
      <c r="C67" s="6" t="s">
        <v>19</v>
      </c>
      <c r="D67" s="10">
        <v>44727</v>
      </c>
      <c r="F67" s="45" t="str">
        <f t="shared" ca="1" si="19"/>
        <v xml:space="preserve">6  m 1  D </v>
      </c>
      <c r="G67" s="5">
        <v>4947</v>
      </c>
      <c r="H67" s="5">
        <v>84605</v>
      </c>
      <c r="I67" s="22">
        <f t="shared" ref="I67:I98" si="21">G67/H67</f>
        <v>5.8471721529460431E-2</v>
      </c>
      <c r="J67" s="5">
        <v>253</v>
      </c>
      <c r="K67" s="5">
        <v>4104</v>
      </c>
      <c r="L67" s="5">
        <v>11</v>
      </c>
      <c r="M67" s="5">
        <v>39</v>
      </c>
      <c r="N67" s="5">
        <v>0</v>
      </c>
      <c r="O67" s="5">
        <v>1</v>
      </c>
      <c r="P67" s="5">
        <v>493</v>
      </c>
      <c r="Q67" s="5" t="s">
        <v>13</v>
      </c>
      <c r="R67" s="5">
        <v>2</v>
      </c>
      <c r="S67" s="5" t="s">
        <v>12</v>
      </c>
      <c r="T67" s="25" t="str">
        <f t="shared" si="20"/>
        <v>غير محدد</v>
      </c>
      <c r="U67" s="5" t="str" cm="1">
        <f t="array" ref="U67">IFERROR(MID(S67,MATCH(TRUE,ISNUMBER(1*MID(S67,ROW($1:$12),1)),0),COUNT(1*MID(S67,ROW($1:$12),1))),"غير محدد")</f>
        <v>غير محدد</v>
      </c>
      <c r="V67" s="5" t="s">
        <v>93</v>
      </c>
      <c r="W67" s="22">
        <f>الشمالي!$K66/الشمالي!$P66</f>
        <v>6.6703056768558948</v>
      </c>
      <c r="X67" s="22">
        <f t="shared" ref="X67:X98" si="22">N67/L67</f>
        <v>0</v>
      </c>
      <c r="Y67" s="22">
        <f t="shared" ref="Y67:Y98" si="23">L67/M67</f>
        <v>0.28205128205128205</v>
      </c>
      <c r="Z67" s="22">
        <f t="shared" ref="Z67:Z98" si="24">O67/J67</f>
        <v>3.952569169960474E-3</v>
      </c>
      <c r="AA67" s="22" t="str">
        <f t="shared" ref="AA67:AA98" ca="1" si="25">IFERROR(DATEDIF(T67,TODAY(),"MD") &amp; "   ","0 ")</f>
        <v xml:space="preserve">0 </v>
      </c>
      <c r="AB67" s="5"/>
      <c r="AD67" s="5"/>
      <c r="AE67" s="5"/>
      <c r="AJ67" s="5"/>
    </row>
    <row r="68" spans="1:36" ht="22.15" customHeight="1" x14ac:dyDescent="0.2">
      <c r="A68" s="5" t="s">
        <v>14</v>
      </c>
      <c r="B68" s="5" t="s">
        <v>18</v>
      </c>
      <c r="C68" s="6" t="s">
        <v>19</v>
      </c>
      <c r="D68" s="10">
        <v>44958</v>
      </c>
      <c r="F68" s="45" t="str">
        <f t="shared" ca="1" si="19"/>
        <v xml:space="preserve">10  m 15  D </v>
      </c>
      <c r="G68" s="5">
        <v>7823</v>
      </c>
      <c r="H68" s="5">
        <v>46242</v>
      </c>
      <c r="I68" s="22">
        <f t="shared" si="21"/>
        <v>0.16917520868474548</v>
      </c>
      <c r="J68" s="5">
        <v>230</v>
      </c>
      <c r="K68" s="5">
        <v>10373</v>
      </c>
      <c r="L68" s="5">
        <v>8</v>
      </c>
      <c r="M68" s="5">
        <v>10</v>
      </c>
      <c r="N68" s="5">
        <v>0</v>
      </c>
      <c r="O68" s="5">
        <v>8</v>
      </c>
      <c r="P68" s="5">
        <v>470</v>
      </c>
      <c r="Q68" s="5" t="s">
        <v>13</v>
      </c>
      <c r="R68" s="5">
        <v>2</v>
      </c>
      <c r="S68" s="5" t="s">
        <v>17</v>
      </c>
      <c r="T68" s="25" t="str">
        <f t="shared" si="20"/>
        <v>غير محدد</v>
      </c>
      <c r="U68" s="5" t="str" cm="1">
        <f t="array" ref="U68">IFERROR(MID(S68,MATCH(TRUE,ISNUMBER(1*MID(S68,ROW($1:$12),1)),0),COUNT(1*MID(S68,ROW($1:$12),1))),"غير محدد")</f>
        <v>غير محدد</v>
      </c>
      <c r="V68" s="5" t="s">
        <v>93</v>
      </c>
      <c r="W68" s="26">
        <f>الشمالي!$K67/الشمالي!$P67</f>
        <v>8.3245436105476678</v>
      </c>
      <c r="X68" s="22">
        <f t="shared" si="22"/>
        <v>0</v>
      </c>
      <c r="Y68" s="22">
        <f t="shared" si="23"/>
        <v>0.8</v>
      </c>
      <c r="Z68" s="22">
        <f t="shared" si="24"/>
        <v>3.4782608695652174E-2</v>
      </c>
      <c r="AA68" s="22" t="str">
        <f t="shared" ca="1" si="25"/>
        <v xml:space="preserve">0 </v>
      </c>
      <c r="AB68" s="5"/>
      <c r="AD68" s="5"/>
      <c r="AE68" s="5"/>
      <c r="AJ68" s="5"/>
    </row>
    <row r="69" spans="1:36" ht="22.15" customHeight="1" x14ac:dyDescent="0.2">
      <c r="A69" s="5" t="s">
        <v>14</v>
      </c>
      <c r="B69" s="5" t="s">
        <v>18</v>
      </c>
      <c r="C69" s="6" t="s">
        <v>19</v>
      </c>
      <c r="D69" s="10">
        <v>45000</v>
      </c>
      <c r="F69" s="45" t="str">
        <f t="shared" ca="1" si="19"/>
        <v xml:space="preserve">9  m 1  D </v>
      </c>
      <c r="G69" s="5">
        <v>2370</v>
      </c>
      <c r="H69" s="5">
        <v>35215</v>
      </c>
      <c r="I69" s="22">
        <f t="shared" si="21"/>
        <v>6.7300866108192525E-2</v>
      </c>
      <c r="J69" s="5">
        <v>85</v>
      </c>
      <c r="K69" s="5">
        <v>2159</v>
      </c>
      <c r="L69" s="5">
        <v>2</v>
      </c>
      <c r="M69" s="5">
        <v>2</v>
      </c>
      <c r="N69" s="5">
        <v>0</v>
      </c>
      <c r="O69" s="5">
        <v>1</v>
      </c>
      <c r="P69" s="5">
        <v>340</v>
      </c>
      <c r="Q69" s="5" t="s">
        <v>21</v>
      </c>
      <c r="R69" s="5">
        <v>1</v>
      </c>
      <c r="S69" s="5" t="s">
        <v>22</v>
      </c>
      <c r="T69" s="25" t="str">
        <f t="shared" si="20"/>
        <v>غير محدد</v>
      </c>
      <c r="U69" s="5" t="str" cm="1">
        <f t="array" ref="U69">IFERROR(MID(S69,MATCH(TRUE,ISNUMBER(1*MID(S69,ROW($1:$12),1)),0),COUNT(1*MID(S69,ROW($1:$12),1))),"غير محدد")</f>
        <v>غير محدد</v>
      </c>
      <c r="V69" s="5" t="s">
        <v>93</v>
      </c>
      <c r="W69" s="26">
        <f>الشمالي!$K68/الشمالي!$P68</f>
        <v>22.070212765957447</v>
      </c>
      <c r="X69" s="22">
        <f t="shared" si="22"/>
        <v>0</v>
      </c>
      <c r="Y69" s="22">
        <f t="shared" si="23"/>
        <v>1</v>
      </c>
      <c r="Z69" s="22">
        <f t="shared" si="24"/>
        <v>1.1764705882352941E-2</v>
      </c>
      <c r="AA69" s="22" t="str">
        <f t="shared" ca="1" si="25"/>
        <v xml:space="preserve">0 </v>
      </c>
      <c r="AB69" s="5"/>
      <c r="AD69" s="5"/>
      <c r="AE69" s="5"/>
      <c r="AJ69" s="5"/>
    </row>
    <row r="70" spans="1:36" ht="22.15" customHeight="1" x14ac:dyDescent="0.2">
      <c r="A70" s="5" t="s">
        <v>14</v>
      </c>
      <c r="B70" s="5" t="s">
        <v>18</v>
      </c>
      <c r="C70" s="6" t="s">
        <v>19</v>
      </c>
      <c r="D70" s="10">
        <v>45084</v>
      </c>
      <c r="F70" s="45" t="str">
        <f t="shared" ca="1" si="19"/>
        <v xml:space="preserve">6  m 9  D </v>
      </c>
      <c r="G70" s="5">
        <v>5210</v>
      </c>
      <c r="H70" s="5">
        <v>149608</v>
      </c>
      <c r="I70" s="22">
        <f t="shared" si="21"/>
        <v>3.4824340944334529E-2</v>
      </c>
      <c r="J70" s="5">
        <v>528</v>
      </c>
      <c r="K70" s="5">
        <v>4843</v>
      </c>
      <c r="L70" s="5">
        <v>8</v>
      </c>
      <c r="M70" s="5">
        <v>15</v>
      </c>
      <c r="N70" s="5">
        <v>5</v>
      </c>
      <c r="O70" s="5">
        <v>6</v>
      </c>
      <c r="P70" s="5">
        <v>780</v>
      </c>
      <c r="Q70" s="5" t="s">
        <v>97</v>
      </c>
      <c r="R70" s="5">
        <v>2</v>
      </c>
      <c r="S70" s="5" t="s">
        <v>12</v>
      </c>
      <c r="T70" s="25" t="str">
        <f t="shared" si="20"/>
        <v>غير محدد</v>
      </c>
      <c r="U70" s="5" t="str" cm="1">
        <f t="array" ref="U70">IFERROR(MID(S70,MATCH(TRUE,ISNUMBER(1*MID(S70,ROW($1:$12),1)),0),COUNT(1*MID(S70,ROW($1:$12),1))),"غير محدد")</f>
        <v>غير محدد</v>
      </c>
      <c r="V70" s="5" t="s">
        <v>93</v>
      </c>
      <c r="W70" s="26">
        <f>الشمالي!$K69/الشمالي!$P69</f>
        <v>6.35</v>
      </c>
      <c r="X70" s="22">
        <f t="shared" si="22"/>
        <v>0.625</v>
      </c>
      <c r="Y70" s="22">
        <f t="shared" si="23"/>
        <v>0.53333333333333333</v>
      </c>
      <c r="Z70" s="22">
        <f t="shared" si="24"/>
        <v>1.1363636363636364E-2</v>
      </c>
      <c r="AA70" s="22" t="str">
        <f t="shared" ca="1" si="25"/>
        <v xml:space="preserve">0 </v>
      </c>
      <c r="AB70" s="5"/>
      <c r="AD70" s="5"/>
      <c r="AE70" s="5"/>
      <c r="AJ70" s="5"/>
    </row>
    <row r="71" spans="1:36" ht="22.15" customHeight="1" x14ac:dyDescent="0.2">
      <c r="A71" s="5" t="s">
        <v>14</v>
      </c>
      <c r="B71" s="5" t="s">
        <v>18</v>
      </c>
      <c r="C71" s="6" t="s">
        <v>19</v>
      </c>
      <c r="D71" s="10">
        <v>45179</v>
      </c>
      <c r="F71" s="45" t="str">
        <f t="shared" ca="1" si="19"/>
        <v xml:space="preserve">3  m 6  D </v>
      </c>
      <c r="G71" s="5">
        <v>39825</v>
      </c>
      <c r="H71" s="5">
        <v>357778</v>
      </c>
      <c r="I71" s="22">
        <f t="shared" si="21"/>
        <v>0.11131204266332753</v>
      </c>
      <c r="J71" s="5">
        <v>592</v>
      </c>
      <c r="K71" s="5">
        <v>7464</v>
      </c>
      <c r="L71" s="5">
        <v>21</v>
      </c>
      <c r="M71" s="5">
        <v>32</v>
      </c>
      <c r="N71" s="5">
        <v>21</v>
      </c>
      <c r="O71" s="5">
        <v>11</v>
      </c>
      <c r="P71" s="5">
        <v>920</v>
      </c>
      <c r="Q71" s="5" t="s">
        <v>97</v>
      </c>
      <c r="R71" s="5">
        <v>2</v>
      </c>
      <c r="S71" s="5" t="s">
        <v>99</v>
      </c>
      <c r="T71" s="25" t="str">
        <f t="shared" si="20"/>
        <v>غير محدد</v>
      </c>
      <c r="U71" s="5" t="str" cm="1">
        <f t="array" ref="U71">IFERROR(MID(S71,MATCH(TRUE,ISNUMBER(1*MID(S71,ROW($1:$12),1)),0),COUNT(1*MID(S71,ROW($1:$12),1))),"غير محدد")</f>
        <v>غير محدد</v>
      </c>
      <c r="V71" s="5" t="s">
        <v>93</v>
      </c>
      <c r="W71" s="26">
        <f>الشمالي!$K70/الشمالي!$P70</f>
        <v>6.2089743589743591</v>
      </c>
      <c r="X71" s="22">
        <f t="shared" si="22"/>
        <v>1</v>
      </c>
      <c r="Y71" s="22">
        <f t="shared" si="23"/>
        <v>0.65625</v>
      </c>
      <c r="Z71" s="22">
        <f t="shared" si="24"/>
        <v>1.8581081081081082E-2</v>
      </c>
      <c r="AA71" s="22" t="str">
        <f t="shared" ca="1" si="25"/>
        <v xml:space="preserve">0 </v>
      </c>
      <c r="AB71" s="5"/>
      <c r="AD71" s="5"/>
      <c r="AE71" s="5"/>
      <c r="AJ71" s="5"/>
    </row>
    <row r="72" spans="1:36" ht="22.15" customHeight="1" x14ac:dyDescent="0.2">
      <c r="A72" s="5" t="s">
        <v>14</v>
      </c>
      <c r="B72" s="5" t="s">
        <v>18</v>
      </c>
      <c r="C72" s="6" t="s">
        <v>19</v>
      </c>
      <c r="D72" s="10">
        <v>45223</v>
      </c>
      <c r="F72" s="45" t="str">
        <f t="shared" ca="1" si="19"/>
        <v xml:space="preserve">1  m 22  D </v>
      </c>
      <c r="G72" s="5">
        <v>9255</v>
      </c>
      <c r="H72" s="5">
        <v>78813</v>
      </c>
      <c r="I72" s="22">
        <f t="shared" si="21"/>
        <v>0.11742986563130448</v>
      </c>
      <c r="J72" s="5">
        <v>597</v>
      </c>
      <c r="K72" s="5">
        <v>4430</v>
      </c>
      <c r="L72" s="5">
        <v>110</v>
      </c>
      <c r="M72" s="5">
        <v>12</v>
      </c>
      <c r="N72" s="5">
        <v>366</v>
      </c>
      <c r="O72" s="5">
        <v>73</v>
      </c>
      <c r="P72" s="5">
        <v>567</v>
      </c>
      <c r="Q72" s="5" t="s">
        <v>97</v>
      </c>
      <c r="R72" s="5" t="s">
        <v>98</v>
      </c>
      <c r="S72" s="5" t="s">
        <v>17</v>
      </c>
      <c r="T72" s="25" t="str">
        <f t="shared" si="20"/>
        <v>غير محدد</v>
      </c>
      <c r="U72" s="5" t="str" cm="1">
        <f t="array" ref="U72">IFERROR(MID(S72,MATCH(TRUE,ISNUMBER(1*MID(S72,ROW($1:$12),1)),0),COUNT(1*MID(S72,ROW($1:$12),1))),"غير محدد")</f>
        <v>غير محدد</v>
      </c>
      <c r="V72" s="5" t="s">
        <v>160</v>
      </c>
      <c r="W72" s="22">
        <f>الشمالي!$K71/الشمالي!$P71</f>
        <v>8.1130434782608702</v>
      </c>
      <c r="X72" s="22">
        <f t="shared" si="22"/>
        <v>3.3272727272727272</v>
      </c>
      <c r="Y72" s="22">
        <f t="shared" si="23"/>
        <v>9.1666666666666661</v>
      </c>
      <c r="Z72" s="22">
        <f t="shared" si="24"/>
        <v>0.12227805695142378</v>
      </c>
      <c r="AA72" s="22" t="str">
        <f t="shared" ca="1" si="25"/>
        <v xml:space="preserve">0 </v>
      </c>
      <c r="AB72" s="5"/>
      <c r="AD72" s="5"/>
      <c r="AE72" s="5"/>
      <c r="AJ72" s="5"/>
    </row>
    <row r="73" spans="1:36" ht="22.15" customHeight="1" x14ac:dyDescent="0.2">
      <c r="A73" s="5" t="s">
        <v>14</v>
      </c>
      <c r="B73" s="5" t="s">
        <v>20</v>
      </c>
      <c r="C73" s="6" t="s">
        <v>16</v>
      </c>
      <c r="D73" s="10">
        <v>44746</v>
      </c>
      <c r="F73" s="45" t="str">
        <f t="shared" ca="1" si="19"/>
        <v xml:space="preserve">5  m 12  D </v>
      </c>
      <c r="G73" s="5">
        <v>6548</v>
      </c>
      <c r="H73" s="5">
        <v>30383</v>
      </c>
      <c r="I73" s="22">
        <f t="shared" si="21"/>
        <v>0.2155152552414179</v>
      </c>
      <c r="J73" s="5">
        <v>14</v>
      </c>
      <c r="K73" s="5">
        <v>1701</v>
      </c>
      <c r="L73" s="5">
        <v>2</v>
      </c>
      <c r="M73" s="5">
        <v>3</v>
      </c>
      <c r="N73" s="5">
        <v>0</v>
      </c>
      <c r="O73" s="5">
        <v>1</v>
      </c>
      <c r="P73" s="5">
        <v>149</v>
      </c>
      <c r="Q73" s="5" t="s">
        <v>21</v>
      </c>
      <c r="R73" s="5">
        <v>1</v>
      </c>
      <c r="S73" s="5" t="s">
        <v>22</v>
      </c>
      <c r="T73" s="25" t="str">
        <f t="shared" si="20"/>
        <v>غير محدد</v>
      </c>
      <c r="U73" s="5" t="str" cm="1">
        <f t="array" ref="U73">IFERROR(MID(S73,MATCH(TRUE,ISNUMBER(1*MID(S73,ROW($1:$12),1)),0),COUNT(1*MID(S73,ROW($1:$12),1))),"غير محدد")</f>
        <v>غير محدد</v>
      </c>
      <c r="V73" s="5" t="s">
        <v>93</v>
      </c>
      <c r="W73" s="26">
        <f>الشمالي!$K72/الشمالي!$P72</f>
        <v>7.8130511463844794</v>
      </c>
      <c r="X73" s="22">
        <f t="shared" si="22"/>
        <v>0</v>
      </c>
      <c r="Y73" s="22">
        <f t="shared" si="23"/>
        <v>0.66666666666666663</v>
      </c>
      <c r="Z73" s="22">
        <f t="shared" si="24"/>
        <v>7.1428571428571425E-2</v>
      </c>
      <c r="AA73" s="22" t="str">
        <f t="shared" ca="1" si="25"/>
        <v xml:space="preserve">0 </v>
      </c>
      <c r="AB73" s="5"/>
      <c r="AD73" s="5"/>
      <c r="AE73" s="5"/>
      <c r="AJ73" s="5"/>
    </row>
    <row r="74" spans="1:36" ht="22.15" customHeight="1" x14ac:dyDescent="0.2">
      <c r="A74" s="5" t="s">
        <v>54</v>
      </c>
      <c r="B74" s="5" t="s">
        <v>55</v>
      </c>
      <c r="C74" s="6" t="s">
        <v>56</v>
      </c>
      <c r="D74" s="10">
        <v>45000</v>
      </c>
      <c r="F74" s="45" t="str">
        <f t="shared" ca="1" si="19"/>
        <v xml:space="preserve">9  m 1  D </v>
      </c>
      <c r="G74" s="5">
        <v>3260</v>
      </c>
      <c r="H74" s="5">
        <v>42267</v>
      </c>
      <c r="I74" s="22">
        <f t="shared" si="21"/>
        <v>7.7128729268696614E-2</v>
      </c>
      <c r="J74" s="5">
        <v>32</v>
      </c>
      <c r="K74" s="5">
        <v>4644</v>
      </c>
      <c r="L74" s="5">
        <v>2</v>
      </c>
      <c r="M74" s="5">
        <v>2</v>
      </c>
      <c r="N74" s="5">
        <v>0</v>
      </c>
      <c r="O74" s="5">
        <v>2</v>
      </c>
      <c r="P74" s="5">
        <v>944</v>
      </c>
      <c r="Q74" s="5" t="s">
        <v>13</v>
      </c>
      <c r="R74" s="5">
        <v>2</v>
      </c>
      <c r="S74" s="5" t="s">
        <v>17</v>
      </c>
      <c r="T74" s="25" t="str">
        <f t="shared" si="20"/>
        <v>غير محدد</v>
      </c>
      <c r="U74" s="5" t="str" cm="1">
        <f t="array" ref="U74">IFERROR(MID(S74,MATCH(TRUE,ISNUMBER(1*MID(S74,ROW($1:$12),1)),0),COUNT(1*MID(S74,ROW($1:$12),1))),"غير محدد")</f>
        <v>غير محدد</v>
      </c>
      <c r="V74" s="5" t="s">
        <v>57</v>
      </c>
      <c r="W74" s="26">
        <f>الشمالي!$K73/الشمالي!$P73</f>
        <v>11.416107382550335</v>
      </c>
      <c r="X74" s="22">
        <f t="shared" si="22"/>
        <v>0</v>
      </c>
      <c r="Y74" s="22">
        <f t="shared" si="23"/>
        <v>1</v>
      </c>
      <c r="Z74" s="22">
        <f t="shared" si="24"/>
        <v>6.25E-2</v>
      </c>
      <c r="AA74" s="22" t="str">
        <f t="shared" ca="1" si="25"/>
        <v xml:space="preserve">0 </v>
      </c>
      <c r="AB74" s="5"/>
      <c r="AD74" s="5"/>
      <c r="AE74" s="5"/>
      <c r="AJ74" s="5"/>
    </row>
    <row r="75" spans="1:36" ht="22.15" customHeight="1" x14ac:dyDescent="0.2">
      <c r="A75" s="5" t="s">
        <v>54</v>
      </c>
      <c r="B75" s="5" t="s">
        <v>38</v>
      </c>
      <c r="C75" s="6" t="s">
        <v>27</v>
      </c>
      <c r="D75" s="10">
        <v>45848</v>
      </c>
      <c r="F75" s="45" t="str">
        <f t="shared" ca="1" si="19"/>
        <v xml:space="preserve">5  m 6  D </v>
      </c>
      <c r="G75" s="5">
        <v>2127</v>
      </c>
      <c r="H75" s="5">
        <v>82713</v>
      </c>
      <c r="I75" s="22">
        <f t="shared" si="21"/>
        <v>2.5715425628377642E-2</v>
      </c>
      <c r="J75" s="5">
        <v>210</v>
      </c>
      <c r="K75" s="5">
        <v>3650</v>
      </c>
      <c r="L75" s="5">
        <v>11</v>
      </c>
      <c r="M75" s="5">
        <v>12</v>
      </c>
      <c r="N75" s="5">
        <v>0</v>
      </c>
      <c r="O75" s="5">
        <v>23</v>
      </c>
      <c r="P75" s="5">
        <v>564</v>
      </c>
      <c r="Q75" s="5" t="s">
        <v>25</v>
      </c>
      <c r="R75" s="5" t="s">
        <v>90</v>
      </c>
      <c r="S75" s="5" t="s">
        <v>151</v>
      </c>
      <c r="T75" s="25">
        <f t="shared" si="20"/>
        <v>45879</v>
      </c>
      <c r="U75" s="5" t="str" cm="1">
        <f t="array" ref="U75">IFERROR(MID(S75,MATCH(TRUE,ISNUMBER(1*MID(S75,ROW($1:$12),1)),0),COUNT(1*MID(S75,ROW($1:$12),1))),"غير محدد")</f>
        <v>1</v>
      </c>
      <c r="V75" s="5" t="s">
        <v>57</v>
      </c>
      <c r="W75" s="26">
        <f>الشمالي!$K76/الشمالي!$P76</f>
        <v>9.9248366013071898</v>
      </c>
      <c r="X75" s="22">
        <f t="shared" si="22"/>
        <v>0</v>
      </c>
      <c r="Y75" s="22">
        <f t="shared" si="23"/>
        <v>0.91666666666666663</v>
      </c>
      <c r="Z75" s="22">
        <f t="shared" si="24"/>
        <v>0.10952380952380952</v>
      </c>
      <c r="AA75" s="22" t="str">
        <f t="shared" ca="1" si="25"/>
        <v xml:space="preserve">6   </v>
      </c>
      <c r="AB75" s="5"/>
      <c r="AD75" s="5"/>
      <c r="AE75" s="5"/>
      <c r="AJ75" s="5"/>
    </row>
    <row r="76" spans="1:36" ht="22.15" customHeight="1" x14ac:dyDescent="0.2">
      <c r="A76" s="5" t="s">
        <v>54</v>
      </c>
      <c r="B76" s="5" t="s">
        <v>29</v>
      </c>
      <c r="C76" s="6" t="s">
        <v>27</v>
      </c>
      <c r="D76" s="10">
        <v>45403</v>
      </c>
      <c r="F76" s="45" t="str">
        <f t="shared" ca="1" si="19"/>
        <v xml:space="preserve">7  m 25  D </v>
      </c>
      <c r="G76" s="5">
        <v>10049</v>
      </c>
      <c r="H76" s="5">
        <v>80668</v>
      </c>
      <c r="I76" s="22">
        <f t="shared" si="21"/>
        <v>0.12457232111865919</v>
      </c>
      <c r="J76" s="5">
        <v>133</v>
      </c>
      <c r="K76" s="5">
        <v>3037</v>
      </c>
      <c r="L76" s="5">
        <v>2</v>
      </c>
      <c r="M76" s="5">
        <v>4</v>
      </c>
      <c r="N76" s="5">
        <v>0</v>
      </c>
      <c r="O76" s="5">
        <v>2</v>
      </c>
      <c r="P76" s="5">
        <v>306</v>
      </c>
      <c r="Q76" s="5" t="s">
        <v>10</v>
      </c>
      <c r="R76" s="5" t="s">
        <v>96</v>
      </c>
      <c r="S76" s="5" t="s">
        <v>151</v>
      </c>
      <c r="T76" s="25">
        <f t="shared" si="20"/>
        <v>45433</v>
      </c>
      <c r="U76" s="5" t="str" cm="1">
        <f t="array" ref="U76">IFERROR(MID(S76,MATCH(TRUE,ISNUMBER(1*MID(S76,ROW($1:$12),1)),0),COUNT(1*MID(S76,ROW($1:$12),1))),"غير محدد")</f>
        <v>1</v>
      </c>
      <c r="V76" s="5" t="s">
        <v>57</v>
      </c>
      <c r="W76" s="26">
        <f>الشمالي!$K74/الشمالي!$P74</f>
        <v>4.9194915254237293</v>
      </c>
      <c r="X76" s="22">
        <f t="shared" si="22"/>
        <v>0</v>
      </c>
      <c r="Y76" s="22">
        <f t="shared" si="23"/>
        <v>0.5</v>
      </c>
      <c r="Z76" s="22">
        <f t="shared" si="24"/>
        <v>1.5037593984962405E-2</v>
      </c>
      <c r="AA76" s="22" t="str">
        <f t="shared" ca="1" si="25"/>
        <v xml:space="preserve">25   </v>
      </c>
      <c r="AB76" s="5"/>
      <c r="AD76" s="5"/>
      <c r="AE76" s="5"/>
      <c r="AJ76" s="5"/>
    </row>
    <row r="77" spans="1:36" ht="22.15" customHeight="1" x14ac:dyDescent="0.2">
      <c r="A77" s="5" t="s">
        <v>54</v>
      </c>
      <c r="B77" s="5" t="s">
        <v>29</v>
      </c>
      <c r="C77" s="6" t="s">
        <v>27</v>
      </c>
      <c r="D77" s="10">
        <v>45403</v>
      </c>
      <c r="F77" s="45" t="str">
        <f t="shared" ca="1" si="19"/>
        <v xml:space="preserve">7  m 25  D </v>
      </c>
      <c r="G77" s="5">
        <v>10049</v>
      </c>
      <c r="H77" s="5">
        <v>80668</v>
      </c>
      <c r="I77" s="22">
        <f t="shared" si="21"/>
        <v>0.12457232111865919</v>
      </c>
      <c r="J77" s="5">
        <v>133</v>
      </c>
      <c r="K77" s="5">
        <v>3037</v>
      </c>
      <c r="L77" s="5">
        <v>2</v>
      </c>
      <c r="M77" s="5">
        <v>4</v>
      </c>
      <c r="N77" s="5">
        <v>0</v>
      </c>
      <c r="O77" s="5">
        <v>2</v>
      </c>
      <c r="P77" s="5">
        <v>306</v>
      </c>
      <c r="Q77" s="5" t="s">
        <v>10</v>
      </c>
      <c r="R77" s="5" t="s">
        <v>96</v>
      </c>
      <c r="S77" s="5" t="s">
        <v>151</v>
      </c>
      <c r="T77" s="25">
        <f t="shared" si="20"/>
        <v>45433</v>
      </c>
      <c r="U77" s="5" t="str" cm="1">
        <f t="array" ref="U77">IFERROR(MID(S77,MATCH(TRUE,ISNUMBER(1*MID(S77,ROW($1:$12),1)),0),COUNT(1*MID(S77,ROW($1:$12),1))),"غير محدد")</f>
        <v>1</v>
      </c>
      <c r="V77" s="5" t="s">
        <v>57</v>
      </c>
      <c r="W77" s="26">
        <f>الشمالي!$K75/الشمالي!$P75</f>
        <v>6.4716312056737593</v>
      </c>
      <c r="X77" s="22">
        <f t="shared" si="22"/>
        <v>0</v>
      </c>
      <c r="Y77" s="22">
        <f t="shared" si="23"/>
        <v>0.5</v>
      </c>
      <c r="Z77" s="22">
        <f t="shared" si="24"/>
        <v>1.5037593984962405E-2</v>
      </c>
      <c r="AA77" s="22" t="str">
        <f t="shared" ca="1" si="25"/>
        <v xml:space="preserve">25   </v>
      </c>
      <c r="AB77" s="5"/>
      <c r="AD77" s="5"/>
      <c r="AE77" s="5"/>
      <c r="AJ77" s="5"/>
    </row>
    <row r="78" spans="1:36" ht="22.15" customHeight="1" x14ac:dyDescent="0.2">
      <c r="A78" s="5" t="s">
        <v>146</v>
      </c>
      <c r="B78" s="5" t="s">
        <v>15</v>
      </c>
      <c r="C78" s="6" t="s">
        <v>16</v>
      </c>
      <c r="D78" s="10">
        <v>45287</v>
      </c>
      <c r="F78" s="45" t="str">
        <f t="shared" ca="1" si="19"/>
        <v xml:space="preserve">11  m 19  D </v>
      </c>
      <c r="G78" s="5">
        <v>20763</v>
      </c>
      <c r="H78" s="5">
        <v>80556</v>
      </c>
      <c r="I78" s="22">
        <f t="shared" si="21"/>
        <v>0.25774616415909429</v>
      </c>
      <c r="J78" s="5">
        <v>30</v>
      </c>
      <c r="K78" s="5">
        <v>2227</v>
      </c>
      <c r="L78" s="5">
        <v>2</v>
      </c>
      <c r="M78" s="5">
        <v>1</v>
      </c>
      <c r="N78" s="5">
        <v>0</v>
      </c>
      <c r="O78" s="5">
        <v>2</v>
      </c>
      <c r="P78" s="5">
        <v>618</v>
      </c>
      <c r="Q78" s="5" t="s">
        <v>13</v>
      </c>
      <c r="R78" s="5" t="s">
        <v>90</v>
      </c>
      <c r="S78" s="5" t="s">
        <v>12</v>
      </c>
      <c r="T78" s="25" t="str">
        <f t="shared" si="20"/>
        <v>غير محدد</v>
      </c>
      <c r="U78" s="5" t="str" cm="1">
        <f t="array" ref="U78">IFERROR(MID(S78,MATCH(TRUE,ISNUMBER(1*MID(S78,ROW($1:$12),1)),0),COUNT(1*MID(S78,ROW($1:$12),1))),"غير محدد")</f>
        <v>غير محدد</v>
      </c>
      <c r="V78" s="5" t="s">
        <v>57</v>
      </c>
      <c r="W78" s="26">
        <f>الشمالي!$K77/الشمالي!$P77</f>
        <v>9.9248366013071898</v>
      </c>
      <c r="X78" s="22">
        <f t="shared" si="22"/>
        <v>0</v>
      </c>
      <c r="Y78" s="22">
        <f t="shared" si="23"/>
        <v>2</v>
      </c>
      <c r="Z78" s="22">
        <f t="shared" si="24"/>
        <v>6.6666666666666666E-2</v>
      </c>
      <c r="AA78" s="22" t="str">
        <f t="shared" ca="1" si="25"/>
        <v xml:space="preserve">0 </v>
      </c>
      <c r="AB78" s="5"/>
      <c r="AD78" s="5"/>
      <c r="AE78" s="5"/>
      <c r="AJ78" s="5"/>
    </row>
    <row r="79" spans="1:36" ht="22.15" customHeight="1" x14ac:dyDescent="0.2">
      <c r="A79" s="5" t="s">
        <v>23</v>
      </c>
      <c r="B79" s="5" t="s">
        <v>15</v>
      </c>
      <c r="C79" s="6" t="s">
        <v>27</v>
      </c>
      <c r="D79" s="10">
        <v>45146</v>
      </c>
      <c r="F79" s="45" t="str">
        <f t="shared" ca="1" si="19"/>
        <v xml:space="preserve">4  m 8  D </v>
      </c>
      <c r="G79" s="5">
        <v>22563</v>
      </c>
      <c r="H79" s="5">
        <v>54240</v>
      </c>
      <c r="I79" s="22">
        <f t="shared" si="21"/>
        <v>0.41598451327433628</v>
      </c>
      <c r="J79" s="5">
        <v>180</v>
      </c>
      <c r="K79" s="5">
        <v>1223</v>
      </c>
      <c r="L79" s="5">
        <v>2</v>
      </c>
      <c r="M79" s="5">
        <v>3</v>
      </c>
      <c r="N79" s="5">
        <v>0</v>
      </c>
      <c r="O79" s="5">
        <v>3</v>
      </c>
      <c r="P79" s="5">
        <v>65</v>
      </c>
      <c r="Q79" s="5" t="s">
        <v>10</v>
      </c>
      <c r="R79" s="5" t="s">
        <v>96</v>
      </c>
      <c r="S79" s="5" t="s">
        <v>12</v>
      </c>
      <c r="T79" s="25" t="str">
        <f t="shared" si="20"/>
        <v>غير محدد</v>
      </c>
      <c r="U79" s="5" t="str" cm="1">
        <f t="array" ref="U79">IFERROR(MID(S79,MATCH(TRUE,ISNUMBER(1*MID(S79,ROW($1:$12),1)),0),COUNT(1*MID(S79,ROW($1:$12),1))),"غير محدد")</f>
        <v>غير محدد</v>
      </c>
      <c r="V79" s="5" t="s">
        <v>93</v>
      </c>
      <c r="W79" s="26">
        <f>الشمالي!$K78/الشمالي!$P78</f>
        <v>3.6035598705501619</v>
      </c>
      <c r="X79" s="22">
        <f t="shared" si="22"/>
        <v>0</v>
      </c>
      <c r="Y79" s="22">
        <f t="shared" si="23"/>
        <v>0.66666666666666663</v>
      </c>
      <c r="Z79" s="22">
        <f t="shared" si="24"/>
        <v>1.6666666666666666E-2</v>
      </c>
      <c r="AA79" s="22" t="str">
        <f t="shared" ca="1" si="25"/>
        <v xml:space="preserve">0 </v>
      </c>
      <c r="AB79" s="5"/>
      <c r="AD79" s="5"/>
      <c r="AE79" s="5"/>
      <c r="AJ79" s="5"/>
    </row>
    <row r="80" spans="1:36" ht="22.15" customHeight="1" x14ac:dyDescent="0.2">
      <c r="A80" s="5" t="s">
        <v>23</v>
      </c>
      <c r="B80" s="5" t="s">
        <v>15</v>
      </c>
      <c r="C80" s="6" t="s">
        <v>27</v>
      </c>
      <c r="D80" s="10">
        <v>45249</v>
      </c>
      <c r="F80" s="45" t="str">
        <f t="shared" ca="1" si="19"/>
        <v xml:space="preserve">0  m 27  D </v>
      </c>
      <c r="G80" s="5">
        <v>40504</v>
      </c>
      <c r="H80" s="5">
        <v>81801</v>
      </c>
      <c r="I80" s="22">
        <f t="shared" si="21"/>
        <v>0.49515287099179717</v>
      </c>
      <c r="J80" s="5">
        <v>49</v>
      </c>
      <c r="K80" s="5">
        <v>2630</v>
      </c>
      <c r="L80" s="5">
        <v>3</v>
      </c>
      <c r="M80" s="5">
        <v>2</v>
      </c>
      <c r="N80" s="5">
        <v>0</v>
      </c>
      <c r="O80" s="5">
        <v>1</v>
      </c>
      <c r="P80" s="5">
        <v>276</v>
      </c>
      <c r="Q80" s="5" t="s">
        <v>13</v>
      </c>
      <c r="R80" s="5" t="s">
        <v>90</v>
      </c>
      <c r="S80" s="5" t="s">
        <v>12</v>
      </c>
      <c r="T80" s="25" t="str">
        <f t="shared" si="20"/>
        <v>غير محدد</v>
      </c>
      <c r="U80" s="5" t="str" cm="1">
        <f t="array" ref="U80">IFERROR(MID(S80,MATCH(TRUE,ISNUMBER(1*MID(S80,ROW($1:$12),1)),0),COUNT(1*MID(S80,ROW($1:$12),1))),"غير محدد")</f>
        <v>غير محدد</v>
      </c>
      <c r="V80" s="5" t="s">
        <v>93</v>
      </c>
      <c r="W80" s="26">
        <f>الشمالي!$K79/الشمالي!$P79</f>
        <v>18.815384615384616</v>
      </c>
      <c r="X80" s="22">
        <f t="shared" si="22"/>
        <v>0</v>
      </c>
      <c r="Y80" s="22">
        <f t="shared" si="23"/>
        <v>1.5</v>
      </c>
      <c r="Z80" s="22">
        <f t="shared" si="24"/>
        <v>2.0408163265306121E-2</v>
      </c>
      <c r="AA80" s="22" t="str">
        <f t="shared" ca="1" si="25"/>
        <v xml:space="preserve">0 </v>
      </c>
      <c r="AB80" s="5"/>
      <c r="AD80" s="5"/>
      <c r="AE80" s="5"/>
      <c r="AJ80" s="5"/>
    </row>
    <row r="81" spans="1:36" ht="22.15" customHeight="1" x14ac:dyDescent="0.2">
      <c r="A81" s="5" t="s">
        <v>23</v>
      </c>
      <c r="B81" s="5" t="s">
        <v>15</v>
      </c>
      <c r="C81" s="6" t="s">
        <v>16</v>
      </c>
      <c r="D81" s="10">
        <v>45249</v>
      </c>
      <c r="F81" s="45" t="str">
        <f t="shared" ca="1" si="19"/>
        <v xml:space="preserve">0  m 27  D </v>
      </c>
      <c r="G81" s="5">
        <v>2678</v>
      </c>
      <c r="H81" s="5">
        <v>81473</v>
      </c>
      <c r="I81" s="22">
        <f t="shared" si="21"/>
        <v>3.286978508217446E-2</v>
      </c>
      <c r="J81" s="5">
        <v>12</v>
      </c>
      <c r="K81" s="5">
        <v>6015</v>
      </c>
      <c r="L81" s="5">
        <v>3</v>
      </c>
      <c r="M81" s="5">
        <v>7</v>
      </c>
      <c r="N81" s="5">
        <v>0</v>
      </c>
      <c r="O81" s="5">
        <v>56</v>
      </c>
      <c r="P81" s="5">
        <v>1783</v>
      </c>
      <c r="Q81" s="5" t="s">
        <v>11</v>
      </c>
      <c r="R81" s="5" t="s">
        <v>90</v>
      </c>
      <c r="S81" s="5" t="s">
        <v>12</v>
      </c>
      <c r="T81" s="25" t="str">
        <f t="shared" si="20"/>
        <v>غير محدد</v>
      </c>
      <c r="U81" s="5" t="str" cm="1">
        <f t="array" ref="U81">IFERROR(MID(S81,MATCH(TRUE,ISNUMBER(1*MID(S81,ROW($1:$12),1)),0),COUNT(1*MID(S81,ROW($1:$12),1))),"غير محدد")</f>
        <v>غير محدد</v>
      </c>
      <c r="V81" s="5" t="s">
        <v>57</v>
      </c>
      <c r="W81" s="26">
        <f>الشمالي!$K80/الشمالي!$P80</f>
        <v>9.5289855072463769</v>
      </c>
      <c r="X81" s="22">
        <f t="shared" si="22"/>
        <v>0</v>
      </c>
      <c r="Y81" s="22">
        <f t="shared" si="23"/>
        <v>0.42857142857142855</v>
      </c>
      <c r="Z81" s="22">
        <f t="shared" si="24"/>
        <v>4.666666666666667</v>
      </c>
      <c r="AA81" s="22" t="str">
        <f t="shared" ca="1" si="25"/>
        <v xml:space="preserve">0 </v>
      </c>
      <c r="AB81" s="5"/>
      <c r="AD81" s="5"/>
      <c r="AE81" s="5"/>
      <c r="AJ81" s="5"/>
    </row>
    <row r="82" spans="1:36" ht="22.15" customHeight="1" x14ac:dyDescent="0.2">
      <c r="A82" s="5" t="s">
        <v>23</v>
      </c>
      <c r="B82" s="5" t="s">
        <v>135</v>
      </c>
      <c r="C82" s="6" t="s">
        <v>16</v>
      </c>
      <c r="D82" s="10">
        <v>45249</v>
      </c>
      <c r="F82" s="45" t="str">
        <f t="shared" ca="1" si="19"/>
        <v xml:space="preserve">0  m 27  D </v>
      </c>
      <c r="G82" s="5">
        <v>2773</v>
      </c>
      <c r="H82" s="5">
        <v>83101</v>
      </c>
      <c r="I82" s="22">
        <f t="shared" si="21"/>
        <v>3.3369032863623783E-2</v>
      </c>
      <c r="J82" s="5">
        <v>25</v>
      </c>
      <c r="K82" s="5">
        <v>5336</v>
      </c>
      <c r="L82" s="5">
        <v>3</v>
      </c>
      <c r="M82" s="5">
        <v>4</v>
      </c>
      <c r="N82" s="5">
        <v>0</v>
      </c>
      <c r="O82" s="5">
        <v>21</v>
      </c>
      <c r="P82" s="5">
        <v>1347</v>
      </c>
      <c r="Q82" s="5" t="s">
        <v>11</v>
      </c>
      <c r="R82" s="5" t="s">
        <v>90</v>
      </c>
      <c r="S82" s="5" t="s">
        <v>12</v>
      </c>
      <c r="T82" s="25" t="str">
        <f t="shared" si="20"/>
        <v>غير محدد</v>
      </c>
      <c r="U82" s="5" t="str" cm="1">
        <f t="array" ref="U82">IFERROR(MID(S82,MATCH(TRUE,ISNUMBER(1*MID(S82,ROW($1:$12),1)),0),COUNT(1*MID(S82,ROW($1:$12),1))),"غير محدد")</f>
        <v>غير محدد</v>
      </c>
      <c r="V82" s="5" t="s">
        <v>57</v>
      </c>
      <c r="W82" s="26">
        <f>الشمالي!$K81/الشمالي!$P81</f>
        <v>3.3735277621985418</v>
      </c>
      <c r="X82" s="22">
        <f t="shared" si="22"/>
        <v>0</v>
      </c>
      <c r="Y82" s="22">
        <f t="shared" si="23"/>
        <v>0.75</v>
      </c>
      <c r="Z82" s="22">
        <f t="shared" si="24"/>
        <v>0.84</v>
      </c>
      <c r="AA82" s="22" t="str">
        <f t="shared" ca="1" si="25"/>
        <v xml:space="preserve">0 </v>
      </c>
      <c r="AB82" s="5"/>
      <c r="AD82" s="5"/>
      <c r="AE82" s="5"/>
      <c r="AJ82" s="5"/>
    </row>
    <row r="83" spans="1:36" ht="22.15" customHeight="1" x14ac:dyDescent="0.2">
      <c r="A83" s="5" t="s">
        <v>23</v>
      </c>
      <c r="B83" s="5" t="s">
        <v>136</v>
      </c>
      <c r="C83" s="6" t="s">
        <v>16</v>
      </c>
      <c r="D83" s="10">
        <v>45249</v>
      </c>
      <c r="F83" s="45" t="str">
        <f t="shared" ca="1" si="19"/>
        <v xml:space="preserve">0  m 27  D </v>
      </c>
      <c r="G83" s="5">
        <v>2349</v>
      </c>
      <c r="H83" s="5">
        <v>70053</v>
      </c>
      <c r="I83" s="22">
        <f t="shared" si="21"/>
        <v>3.3531754528713972E-2</v>
      </c>
      <c r="J83" s="5">
        <v>31</v>
      </c>
      <c r="K83" s="5">
        <v>5522</v>
      </c>
      <c r="L83" s="5">
        <v>3</v>
      </c>
      <c r="M83" s="5">
        <v>5</v>
      </c>
      <c r="N83" s="5">
        <v>0</v>
      </c>
      <c r="O83" s="5">
        <v>28</v>
      </c>
      <c r="P83" s="5">
        <v>1649</v>
      </c>
      <c r="Q83" s="5" t="s">
        <v>11</v>
      </c>
      <c r="R83" s="5" t="s">
        <v>90</v>
      </c>
      <c r="S83" s="5" t="s">
        <v>12</v>
      </c>
      <c r="T83" s="25" t="str">
        <f t="shared" si="20"/>
        <v>غير محدد</v>
      </c>
      <c r="U83" s="5" t="str" cm="1">
        <f t="array" ref="U83">IFERROR(MID(S83,MATCH(TRUE,ISNUMBER(1*MID(S83,ROW($1:$12),1)),0),COUNT(1*MID(S83,ROW($1:$12),1))),"غير محدد")</f>
        <v>غير محدد</v>
      </c>
      <c r="V83" s="5" t="s">
        <v>57</v>
      </c>
      <c r="W83" s="26">
        <f>الشمالي!$K82/الشمالي!$P82</f>
        <v>3.9613956941351152</v>
      </c>
      <c r="X83" s="22">
        <f t="shared" si="22"/>
        <v>0</v>
      </c>
      <c r="Y83" s="22">
        <f t="shared" si="23"/>
        <v>0.6</v>
      </c>
      <c r="Z83" s="22">
        <f t="shared" si="24"/>
        <v>0.90322580645161288</v>
      </c>
      <c r="AA83" s="22" t="str">
        <f t="shared" ca="1" si="25"/>
        <v xml:space="preserve">0 </v>
      </c>
      <c r="AB83" s="5"/>
      <c r="AD83" s="5"/>
      <c r="AE83" s="5"/>
      <c r="AJ83" s="5"/>
    </row>
    <row r="84" spans="1:36" ht="22.15" customHeight="1" x14ac:dyDescent="0.2">
      <c r="A84" s="5" t="s">
        <v>23</v>
      </c>
      <c r="B84" s="5" t="s">
        <v>24</v>
      </c>
      <c r="C84" s="6" t="s">
        <v>27</v>
      </c>
      <c r="D84" s="10">
        <v>44867</v>
      </c>
      <c r="F84" s="45" t="str">
        <f t="shared" ca="1" si="19"/>
        <v xml:space="preserve">1  m 14  D </v>
      </c>
      <c r="G84" s="5">
        <v>18733</v>
      </c>
      <c r="H84" s="5">
        <v>55025</v>
      </c>
      <c r="I84" s="22">
        <f t="shared" si="21"/>
        <v>0.34044525215810995</v>
      </c>
      <c r="J84" s="5">
        <v>110</v>
      </c>
      <c r="K84" s="5">
        <v>1246</v>
      </c>
      <c r="L84" s="5">
        <v>4</v>
      </c>
      <c r="M84" s="5">
        <v>4</v>
      </c>
      <c r="N84" s="5">
        <v>0</v>
      </c>
      <c r="O84" s="5">
        <v>1</v>
      </c>
      <c r="P84" s="5">
        <v>57</v>
      </c>
      <c r="Q84" s="5" t="s">
        <v>13</v>
      </c>
      <c r="R84" s="5">
        <v>2</v>
      </c>
      <c r="S84" s="5" t="s">
        <v>12</v>
      </c>
      <c r="T84" s="25" t="str">
        <f t="shared" si="20"/>
        <v>غير محدد</v>
      </c>
      <c r="U84" s="5" t="str" cm="1">
        <f t="array" ref="U84">IFERROR(MID(S84,MATCH(TRUE,ISNUMBER(1*MID(S84,ROW($1:$12),1)),0),COUNT(1*MID(S84,ROW($1:$12),1))),"غير محدد")</f>
        <v>غير محدد</v>
      </c>
      <c r="V84" s="5" t="s">
        <v>93</v>
      </c>
      <c r="W84" s="22">
        <f>الشمالي!$K83/الشمالي!$P83</f>
        <v>3.348696179502729</v>
      </c>
      <c r="X84" s="22">
        <f t="shared" si="22"/>
        <v>0</v>
      </c>
      <c r="Y84" s="22">
        <f t="shared" si="23"/>
        <v>1</v>
      </c>
      <c r="Z84" s="22">
        <f t="shared" si="24"/>
        <v>9.0909090909090905E-3</v>
      </c>
      <c r="AA84" s="22" t="str">
        <f t="shared" ca="1" si="25"/>
        <v xml:space="preserve">0 </v>
      </c>
      <c r="AB84" s="5"/>
      <c r="AD84" s="5"/>
      <c r="AE84" s="5"/>
      <c r="AJ84" s="5"/>
    </row>
    <row r="85" spans="1:36" ht="22.15" customHeight="1" x14ac:dyDescent="0.2">
      <c r="A85" s="5" t="s">
        <v>23</v>
      </c>
      <c r="B85" s="5" t="s">
        <v>24</v>
      </c>
      <c r="C85" s="6" t="s">
        <v>16</v>
      </c>
      <c r="D85" s="10">
        <v>44867</v>
      </c>
      <c r="F85" s="45" t="str">
        <f t="shared" ca="1" si="19"/>
        <v xml:space="preserve">1  m 14  D </v>
      </c>
      <c r="G85" s="5">
        <v>8227</v>
      </c>
      <c r="H85" s="5">
        <v>52901</v>
      </c>
      <c r="I85" s="22">
        <f t="shared" si="21"/>
        <v>0.15551690894312017</v>
      </c>
      <c r="J85" s="5">
        <v>10</v>
      </c>
      <c r="K85" s="5">
        <v>1840</v>
      </c>
      <c r="L85" s="5">
        <v>2</v>
      </c>
      <c r="M85" s="5">
        <v>3</v>
      </c>
      <c r="N85" s="5">
        <v>0</v>
      </c>
      <c r="O85" s="5">
        <v>8</v>
      </c>
      <c r="P85" s="5">
        <v>724</v>
      </c>
      <c r="Q85" s="5" t="s">
        <v>25</v>
      </c>
      <c r="R85" s="5">
        <v>2</v>
      </c>
      <c r="S85" s="5" t="s">
        <v>17</v>
      </c>
      <c r="T85" s="25" t="str">
        <f t="shared" si="20"/>
        <v>غير محدد</v>
      </c>
      <c r="U85" s="5" t="str" cm="1">
        <f t="array" ref="U85">IFERROR(MID(S85,MATCH(TRUE,ISNUMBER(1*MID(S85,ROW($1:$12),1)),0),COUNT(1*MID(S85,ROW($1:$12),1))),"غير محدد")</f>
        <v>غير محدد</v>
      </c>
      <c r="V85" s="5" t="s">
        <v>93</v>
      </c>
      <c r="W85" s="26">
        <f>الشمالي!$K84/الشمالي!$P84</f>
        <v>21.859649122807017</v>
      </c>
      <c r="X85" s="22">
        <f t="shared" si="22"/>
        <v>0</v>
      </c>
      <c r="Y85" s="22">
        <f t="shared" si="23"/>
        <v>0.66666666666666663</v>
      </c>
      <c r="Z85" s="22">
        <f t="shared" si="24"/>
        <v>0.8</v>
      </c>
      <c r="AA85" s="22" t="str">
        <f t="shared" ca="1" si="25"/>
        <v xml:space="preserve">0 </v>
      </c>
      <c r="AB85" s="5"/>
      <c r="AD85" s="5"/>
      <c r="AE85" s="5"/>
      <c r="AJ85" s="5"/>
    </row>
    <row r="86" spans="1:36" ht="22.15" customHeight="1" x14ac:dyDescent="0.2">
      <c r="A86" s="5" t="s">
        <v>23</v>
      </c>
      <c r="B86" s="5" t="s">
        <v>24</v>
      </c>
      <c r="C86" s="6" t="s">
        <v>16</v>
      </c>
      <c r="D86" s="10">
        <v>45146</v>
      </c>
      <c r="F86" s="45" t="str">
        <f t="shared" ca="1" si="19"/>
        <v xml:space="preserve">4  m 8  D </v>
      </c>
      <c r="G86" s="5">
        <v>2494</v>
      </c>
      <c r="H86" s="5">
        <v>65616</v>
      </c>
      <c r="I86" s="22">
        <f t="shared" si="21"/>
        <v>3.8009022189709828E-2</v>
      </c>
      <c r="J86" s="5">
        <v>140</v>
      </c>
      <c r="K86" s="5">
        <v>3609</v>
      </c>
      <c r="L86" s="5">
        <v>7</v>
      </c>
      <c r="M86" s="5">
        <v>3</v>
      </c>
      <c r="N86" s="5">
        <v>0</v>
      </c>
      <c r="O86" s="5">
        <v>2</v>
      </c>
      <c r="P86" s="5">
        <v>413</v>
      </c>
      <c r="Q86" s="5" t="s">
        <v>13</v>
      </c>
      <c r="R86" s="5" t="s">
        <v>98</v>
      </c>
      <c r="S86" s="5" t="s">
        <v>12</v>
      </c>
      <c r="T86" s="25" t="str">
        <f t="shared" si="20"/>
        <v>غير محدد</v>
      </c>
      <c r="U86" s="5" t="str" cm="1">
        <f t="array" ref="U86">IFERROR(MID(S86,MATCH(TRUE,ISNUMBER(1*MID(S86,ROW($1:$12),1)),0),COUNT(1*MID(S86,ROW($1:$12),1))),"غير محدد")</f>
        <v>غير محدد</v>
      </c>
      <c r="V86" s="5" t="s">
        <v>57</v>
      </c>
      <c r="W86" s="22">
        <f>الشمالي!$K85/الشمالي!$P85</f>
        <v>2.541436464088398</v>
      </c>
      <c r="X86" s="22">
        <f t="shared" si="22"/>
        <v>0</v>
      </c>
      <c r="Y86" s="22">
        <f t="shared" si="23"/>
        <v>2.3333333333333335</v>
      </c>
      <c r="Z86" s="22">
        <f t="shared" si="24"/>
        <v>1.4285714285714285E-2</v>
      </c>
      <c r="AA86" s="22" t="str">
        <f t="shared" ca="1" si="25"/>
        <v xml:space="preserve">0 </v>
      </c>
      <c r="AB86" s="5"/>
      <c r="AD86" s="5"/>
      <c r="AE86" s="5"/>
      <c r="AJ86" s="5"/>
    </row>
    <row r="87" spans="1:36" ht="22.15" customHeight="1" x14ac:dyDescent="0.2">
      <c r="A87" s="5" t="s">
        <v>23</v>
      </c>
      <c r="B87" s="5" t="s">
        <v>24</v>
      </c>
      <c r="C87" s="6" t="s">
        <v>27</v>
      </c>
      <c r="D87" s="10">
        <v>45249</v>
      </c>
      <c r="F87" s="45" t="str">
        <f t="shared" ca="1" si="19"/>
        <v xml:space="preserve">0  m 27  D </v>
      </c>
      <c r="G87" s="5">
        <v>33607</v>
      </c>
      <c r="H87" s="5">
        <v>88565</v>
      </c>
      <c r="I87" s="22">
        <f t="shared" si="21"/>
        <v>0.3794614125218766</v>
      </c>
      <c r="J87" s="5">
        <v>49</v>
      </c>
      <c r="K87" s="5">
        <v>2276</v>
      </c>
      <c r="L87" s="5">
        <v>3</v>
      </c>
      <c r="M87" s="5">
        <v>2</v>
      </c>
      <c r="N87" s="5">
        <v>0</v>
      </c>
      <c r="O87" s="5">
        <v>3</v>
      </c>
      <c r="P87" s="5">
        <v>307</v>
      </c>
      <c r="Q87" s="5" t="s">
        <v>25</v>
      </c>
      <c r="R87" s="5" t="s">
        <v>90</v>
      </c>
      <c r="S87" s="5" t="s">
        <v>99</v>
      </c>
      <c r="T87" s="25" t="str">
        <f t="shared" si="20"/>
        <v>غير محدد</v>
      </c>
      <c r="U87" s="5" t="str" cm="1">
        <f t="array" ref="U87">IFERROR(MID(S87,MATCH(TRUE,ISNUMBER(1*MID(S87,ROW($1:$12),1)),0),COUNT(1*MID(S87,ROW($1:$12),1))),"غير محدد")</f>
        <v>غير محدد</v>
      </c>
      <c r="V87" s="5" t="s">
        <v>93</v>
      </c>
      <c r="W87" s="22">
        <f>الشمالي!$K86/الشمالي!$P86</f>
        <v>8.7384987893462469</v>
      </c>
      <c r="X87" s="22">
        <f t="shared" si="22"/>
        <v>0</v>
      </c>
      <c r="Y87" s="22">
        <f t="shared" si="23"/>
        <v>1.5</v>
      </c>
      <c r="Z87" s="22">
        <f t="shared" si="24"/>
        <v>6.1224489795918366E-2</v>
      </c>
      <c r="AA87" s="22" t="str">
        <f t="shared" ca="1" si="25"/>
        <v xml:space="preserve">0 </v>
      </c>
      <c r="AB87" s="5"/>
      <c r="AD87" s="5"/>
      <c r="AE87" s="5"/>
      <c r="AJ87" s="5"/>
    </row>
    <row r="88" spans="1:36" ht="22.15" customHeight="1" x14ac:dyDescent="0.2">
      <c r="A88" s="5" t="s">
        <v>23</v>
      </c>
      <c r="B88" s="5" t="s">
        <v>24</v>
      </c>
      <c r="C88" s="6" t="s">
        <v>27</v>
      </c>
      <c r="D88" s="10">
        <v>45405</v>
      </c>
      <c r="F88" s="45" t="str">
        <f t="shared" ca="1" si="19"/>
        <v xml:space="preserve">7  m 23  D </v>
      </c>
      <c r="G88" s="5">
        <v>23743</v>
      </c>
      <c r="H88" s="5">
        <v>50360</v>
      </c>
      <c r="I88" s="22">
        <f t="shared" si="21"/>
        <v>0.4714654487688642</v>
      </c>
      <c r="J88" s="5">
        <v>72</v>
      </c>
      <c r="K88" s="5">
        <v>1686</v>
      </c>
      <c r="L88" s="5">
        <v>3</v>
      </c>
      <c r="M88" s="5">
        <v>2</v>
      </c>
      <c r="N88" s="5">
        <v>0</v>
      </c>
      <c r="O88" s="5">
        <v>1</v>
      </c>
      <c r="P88" s="5">
        <v>192</v>
      </c>
      <c r="Q88" s="5" t="s">
        <v>13</v>
      </c>
      <c r="R88" s="5" t="s">
        <v>90</v>
      </c>
      <c r="S88" s="5" t="s">
        <v>151</v>
      </c>
      <c r="T88" s="25">
        <f t="shared" si="20"/>
        <v>45435</v>
      </c>
      <c r="U88" s="5" t="str" cm="1">
        <f t="array" ref="U88">IFERROR(MID(S88,MATCH(TRUE,ISNUMBER(1*MID(S88,ROW($1:$12),1)),0),COUNT(1*MID(S88,ROW($1:$12),1))),"غير محدد")</f>
        <v>1</v>
      </c>
      <c r="V88" s="5" t="s">
        <v>57</v>
      </c>
      <c r="W88" s="22">
        <f>الشمالي!$K87/الشمالي!$P87</f>
        <v>7.4136807817589574</v>
      </c>
      <c r="X88" s="22">
        <f t="shared" si="22"/>
        <v>0</v>
      </c>
      <c r="Y88" s="22">
        <f t="shared" si="23"/>
        <v>1.5</v>
      </c>
      <c r="Z88" s="22">
        <f t="shared" si="24"/>
        <v>1.3888888888888888E-2</v>
      </c>
      <c r="AA88" s="22" t="str">
        <f t="shared" ca="1" si="25"/>
        <v xml:space="preserve">23   </v>
      </c>
      <c r="AB88" s="5"/>
      <c r="AD88" s="5"/>
      <c r="AE88" s="5"/>
      <c r="AJ88" s="5"/>
    </row>
    <row r="89" spans="1:36" ht="22.15" customHeight="1" x14ac:dyDescent="0.2">
      <c r="A89" s="5" t="s">
        <v>23</v>
      </c>
      <c r="B89" s="5" t="s">
        <v>38</v>
      </c>
      <c r="C89" s="6" t="s">
        <v>16</v>
      </c>
      <c r="D89" s="10">
        <v>45146</v>
      </c>
      <c r="F89" s="45" t="str">
        <f t="shared" ca="1" si="19"/>
        <v xml:space="preserve">4  m 8  D </v>
      </c>
      <c r="G89" s="5">
        <v>6269</v>
      </c>
      <c r="H89" s="5">
        <v>69802</v>
      </c>
      <c r="I89" s="22">
        <f t="shared" si="21"/>
        <v>8.9811180195409873E-2</v>
      </c>
      <c r="J89" s="5">
        <v>41</v>
      </c>
      <c r="K89" s="5">
        <v>3473</v>
      </c>
      <c r="L89" s="5">
        <v>17</v>
      </c>
      <c r="M89" s="5">
        <v>4</v>
      </c>
      <c r="N89" s="5">
        <v>2</v>
      </c>
      <c r="O89" s="5">
        <v>1</v>
      </c>
      <c r="P89" s="5">
        <v>439</v>
      </c>
      <c r="Q89" s="5" t="s">
        <v>13</v>
      </c>
      <c r="R89" s="5">
        <v>2</v>
      </c>
      <c r="S89" s="5" t="s">
        <v>12</v>
      </c>
      <c r="T89" s="25" t="str">
        <f t="shared" si="20"/>
        <v>غير محدد</v>
      </c>
      <c r="U89" s="5" t="str" cm="1">
        <f t="array" ref="U89">IFERROR(MID(S89,MATCH(TRUE,ISNUMBER(1*MID(S89,ROW($1:$12),1)),0),COUNT(1*MID(S89,ROW($1:$12),1))),"غير محدد")</f>
        <v>غير محدد</v>
      </c>
      <c r="V89" s="5" t="s">
        <v>93</v>
      </c>
      <c r="W89" s="26">
        <f>الشمالي!$K88/الشمالي!$P88</f>
        <v>8.78125</v>
      </c>
      <c r="X89" s="22">
        <f t="shared" si="22"/>
        <v>0.11764705882352941</v>
      </c>
      <c r="Y89" s="22">
        <f t="shared" si="23"/>
        <v>4.25</v>
      </c>
      <c r="Z89" s="22">
        <f t="shared" si="24"/>
        <v>2.4390243902439025E-2</v>
      </c>
      <c r="AA89" s="22" t="str">
        <f t="shared" ca="1" si="25"/>
        <v xml:space="preserve">0 </v>
      </c>
      <c r="AB89" s="5"/>
      <c r="AD89" s="5"/>
      <c r="AE89" s="5"/>
      <c r="AJ89" s="5"/>
    </row>
    <row r="90" spans="1:36" ht="22.15" customHeight="1" x14ac:dyDescent="0.2">
      <c r="A90" s="5" t="s">
        <v>210</v>
      </c>
      <c r="B90" s="5">
        <v>1</v>
      </c>
      <c r="C90" s="6" t="s">
        <v>27</v>
      </c>
      <c r="D90" s="10">
        <v>45833</v>
      </c>
      <c r="F90" s="45" t="str">
        <f t="shared" ca="1" si="19"/>
        <v xml:space="preserve">5  m 21  D </v>
      </c>
      <c r="G90" s="5">
        <v>7567</v>
      </c>
      <c r="H90" s="5">
        <v>100594</v>
      </c>
      <c r="I90" s="22">
        <f t="shared" si="21"/>
        <v>7.5223174344394295E-2</v>
      </c>
      <c r="J90" s="5">
        <v>249</v>
      </c>
      <c r="K90" s="5">
        <v>5721</v>
      </c>
      <c r="L90" s="5">
        <v>1</v>
      </c>
      <c r="M90" s="5">
        <v>4</v>
      </c>
      <c r="N90" s="5">
        <v>0</v>
      </c>
      <c r="O90" s="5">
        <v>4</v>
      </c>
      <c r="P90" s="5">
        <v>506</v>
      </c>
      <c r="Q90" s="5" t="s">
        <v>11</v>
      </c>
      <c r="R90" s="5" t="s">
        <v>90</v>
      </c>
      <c r="S90" s="5" t="s">
        <v>151</v>
      </c>
      <c r="T90" s="25">
        <f t="shared" si="20"/>
        <v>45863</v>
      </c>
      <c r="U90" s="5" t="str" cm="1">
        <f t="array" ref="U90">IFERROR(MID(S90,MATCH(TRUE,ISNUMBER(1*MID(S90,ROW($1:$11),1)),0),COUNT(1*MID(S90,ROW($1:$11),1))),"غير محدد")</f>
        <v>1</v>
      </c>
      <c r="V90" s="5" t="s">
        <v>57</v>
      </c>
      <c r="W90" s="26">
        <f>الشمالي!$K125/الشمالي!$P125</f>
        <v>13.290476190476191</v>
      </c>
      <c r="X90" s="22">
        <f t="shared" si="22"/>
        <v>0</v>
      </c>
      <c r="Y90" s="22">
        <f t="shared" si="23"/>
        <v>0.25</v>
      </c>
      <c r="Z90" s="22">
        <f t="shared" si="24"/>
        <v>1.6064257028112448E-2</v>
      </c>
      <c r="AA90" s="22" t="str">
        <f t="shared" ca="1" si="25"/>
        <v xml:space="preserve">21   </v>
      </c>
      <c r="AB90" s="5"/>
      <c r="AD90" s="5"/>
      <c r="AE90" s="5"/>
      <c r="AJ90" s="5"/>
    </row>
    <row r="91" spans="1:36" ht="22.15" customHeight="1" x14ac:dyDescent="0.2">
      <c r="A91" s="5" t="s">
        <v>152</v>
      </c>
      <c r="B91" s="5" t="s">
        <v>38</v>
      </c>
      <c r="C91" s="6" t="s">
        <v>27</v>
      </c>
      <c r="D91" s="10">
        <v>45321</v>
      </c>
      <c r="F91" s="45" t="str">
        <f t="shared" ca="1" si="19"/>
        <v xml:space="preserve">10  m 16  D </v>
      </c>
      <c r="G91" s="5">
        <v>23766</v>
      </c>
      <c r="H91" s="5">
        <v>91520</v>
      </c>
      <c r="I91" s="22">
        <f t="shared" si="21"/>
        <v>0.25968094405594405</v>
      </c>
      <c r="J91" s="5">
        <v>88</v>
      </c>
      <c r="K91" s="5">
        <v>1799</v>
      </c>
      <c r="L91" s="5">
        <v>4</v>
      </c>
      <c r="M91" s="5">
        <v>3</v>
      </c>
      <c r="N91" s="5">
        <v>0</v>
      </c>
      <c r="O91" s="5">
        <v>12</v>
      </c>
      <c r="P91" s="5">
        <v>202</v>
      </c>
      <c r="Q91" s="5" t="s">
        <v>10</v>
      </c>
      <c r="R91" s="5" t="s">
        <v>96</v>
      </c>
      <c r="S91" s="5" t="s">
        <v>12</v>
      </c>
      <c r="T91" s="25" t="str">
        <f t="shared" si="20"/>
        <v>غير محدد</v>
      </c>
      <c r="U91" s="5" t="str" cm="1">
        <f t="array" ref="U91">IFERROR(MID(S91,MATCH(TRUE,ISNUMBER(1*MID(S91,ROW($1:$12),1)),0),COUNT(1*MID(S91,ROW($1:$12),1))),"غير محدد")</f>
        <v>غير محدد</v>
      </c>
      <c r="V91" s="5" t="s">
        <v>57</v>
      </c>
      <c r="W91" s="26">
        <f>الشمالي!$K89/الشمالي!$P89</f>
        <v>7.9111617312072893</v>
      </c>
      <c r="X91" s="22">
        <f t="shared" si="22"/>
        <v>0</v>
      </c>
      <c r="Y91" s="22">
        <f t="shared" si="23"/>
        <v>1.3333333333333333</v>
      </c>
      <c r="Z91" s="22">
        <f t="shared" si="24"/>
        <v>0.13636363636363635</v>
      </c>
      <c r="AA91" s="22" t="str">
        <f t="shared" ca="1" si="25"/>
        <v xml:space="preserve">0 </v>
      </c>
      <c r="AB91" s="5"/>
      <c r="AD91" s="5"/>
      <c r="AE91" s="5"/>
      <c r="AJ91" s="5"/>
    </row>
    <row r="92" spans="1:36" ht="22.15" customHeight="1" x14ac:dyDescent="0.2">
      <c r="A92" s="5" t="s">
        <v>195</v>
      </c>
      <c r="B92" s="5" t="s">
        <v>15</v>
      </c>
      <c r="C92" s="6" t="s">
        <v>16</v>
      </c>
      <c r="D92" s="10">
        <v>45575</v>
      </c>
      <c r="F92" s="45" t="str">
        <f t="shared" ca="1" si="19"/>
        <v xml:space="preserve">2  m 6  D </v>
      </c>
      <c r="G92" s="5">
        <v>29814</v>
      </c>
      <c r="H92" s="5">
        <v>83393</v>
      </c>
      <c r="I92" s="22">
        <f t="shared" si="21"/>
        <v>0.35751202139268284</v>
      </c>
      <c r="J92" s="5">
        <v>415</v>
      </c>
      <c r="K92" s="5">
        <v>2837</v>
      </c>
      <c r="L92" s="5">
        <v>3</v>
      </c>
      <c r="M92" s="5">
        <v>12</v>
      </c>
      <c r="N92" s="5">
        <v>0</v>
      </c>
      <c r="O92" s="5">
        <v>3</v>
      </c>
      <c r="P92" s="5">
        <v>458</v>
      </c>
      <c r="Q92" s="5" t="s">
        <v>13</v>
      </c>
      <c r="R92" s="5" t="s">
        <v>90</v>
      </c>
      <c r="S92" s="5" t="s">
        <v>151</v>
      </c>
      <c r="T92" s="25">
        <f t="shared" si="20"/>
        <v>45606</v>
      </c>
      <c r="U92" s="5" t="str" cm="1">
        <f t="array" ref="U92">IFERROR(MID(S92,MATCH(TRUE,ISNUMBER(1*MID(S92,ROW($1:$11),1)),0),COUNT(1*MID(S92,ROW($1:$11),1))),"غير محدد")</f>
        <v>1</v>
      </c>
      <c r="V92" s="5" t="s">
        <v>57</v>
      </c>
      <c r="W92" s="26">
        <f>الشمالي!$K120/الشمالي!$P120</f>
        <v>12.032388663967611</v>
      </c>
      <c r="X92" s="22">
        <f t="shared" si="22"/>
        <v>0</v>
      </c>
      <c r="Y92" s="22">
        <f t="shared" si="23"/>
        <v>0.25</v>
      </c>
      <c r="Z92" s="22">
        <f t="shared" si="24"/>
        <v>7.2289156626506026E-3</v>
      </c>
      <c r="AA92" s="22" t="str">
        <f t="shared" ca="1" si="25"/>
        <v xml:space="preserve">6   </v>
      </c>
      <c r="AB92" s="5"/>
      <c r="AD92" s="5"/>
      <c r="AE92" s="5"/>
      <c r="AJ92" s="5"/>
    </row>
    <row r="93" spans="1:36" ht="22.15" customHeight="1" x14ac:dyDescent="0.2">
      <c r="A93" s="5" t="s">
        <v>37</v>
      </c>
      <c r="B93" s="5" t="s">
        <v>15</v>
      </c>
      <c r="C93" s="6" t="s">
        <v>16</v>
      </c>
      <c r="D93" s="10">
        <v>44577</v>
      </c>
      <c r="F93" s="45" t="str">
        <f t="shared" ca="1" si="19"/>
        <v xml:space="preserve">11  m 0  D </v>
      </c>
      <c r="G93" s="5">
        <v>3914</v>
      </c>
      <c r="H93" s="5">
        <v>18638</v>
      </c>
      <c r="I93" s="22">
        <f t="shared" si="21"/>
        <v>0.21000107307651036</v>
      </c>
      <c r="J93" s="5">
        <v>35</v>
      </c>
      <c r="K93" s="5">
        <v>2947</v>
      </c>
      <c r="L93" s="5">
        <v>4</v>
      </c>
      <c r="M93" s="5">
        <v>2</v>
      </c>
      <c r="N93" s="5">
        <v>0</v>
      </c>
      <c r="O93" s="5">
        <v>16</v>
      </c>
      <c r="P93" s="5">
        <v>206</v>
      </c>
      <c r="Q93" s="5" t="s">
        <v>21</v>
      </c>
      <c r="R93" s="5">
        <v>1</v>
      </c>
      <c r="S93" s="5" t="s">
        <v>22</v>
      </c>
      <c r="T93" s="25" t="str">
        <f t="shared" si="20"/>
        <v>غير محدد</v>
      </c>
      <c r="U93" s="5" t="str" cm="1">
        <f t="array" ref="U93">IFERROR(MID(S93,MATCH(TRUE,ISNUMBER(1*MID(S93,ROW($1:$12),1)),0),COUNT(1*MID(S93,ROW($1:$12),1))),"غير محدد")</f>
        <v>غير محدد</v>
      </c>
      <c r="V93" s="5" t="s">
        <v>93</v>
      </c>
      <c r="W93" s="26">
        <f>الشمالي!$K90/الشمالي!$P90</f>
        <v>11.306324110671937</v>
      </c>
      <c r="X93" s="22">
        <f t="shared" si="22"/>
        <v>0</v>
      </c>
      <c r="Y93" s="22">
        <f t="shared" si="23"/>
        <v>2</v>
      </c>
      <c r="Z93" s="22">
        <f t="shared" si="24"/>
        <v>0.45714285714285713</v>
      </c>
      <c r="AA93" s="22" t="str">
        <f t="shared" ca="1" si="25"/>
        <v xml:space="preserve">0 </v>
      </c>
      <c r="AB93" s="5"/>
      <c r="AD93" s="5"/>
      <c r="AE93" s="5"/>
      <c r="AJ93" s="5"/>
    </row>
    <row r="94" spans="1:36" ht="22.15" customHeight="1" x14ac:dyDescent="0.2">
      <c r="A94" s="5" t="s">
        <v>37</v>
      </c>
      <c r="B94" s="5" t="s">
        <v>15</v>
      </c>
      <c r="C94" s="6" t="s">
        <v>16</v>
      </c>
      <c r="D94" s="10">
        <v>44943</v>
      </c>
      <c r="F94" s="45" t="str">
        <f t="shared" ca="1" si="19"/>
        <v xml:space="preserve">10  m 29  D </v>
      </c>
      <c r="G94" s="5">
        <v>4557</v>
      </c>
      <c r="H94" s="5">
        <v>19118</v>
      </c>
      <c r="I94" s="22">
        <f t="shared" si="21"/>
        <v>0.23836175332147713</v>
      </c>
      <c r="J94" s="5">
        <v>22</v>
      </c>
      <c r="K94" s="5">
        <v>410</v>
      </c>
      <c r="L94" s="5">
        <v>2</v>
      </c>
      <c r="M94" s="5">
        <v>14</v>
      </c>
      <c r="N94" s="5">
        <v>2</v>
      </c>
      <c r="O94" s="5">
        <v>1</v>
      </c>
      <c r="P94" s="5">
        <v>269</v>
      </c>
      <c r="Q94" s="5" t="s">
        <v>21</v>
      </c>
      <c r="R94" s="5">
        <v>1</v>
      </c>
      <c r="S94" s="5" t="s">
        <v>22</v>
      </c>
      <c r="T94" s="25" t="str">
        <f t="shared" si="20"/>
        <v>غير محدد</v>
      </c>
      <c r="U94" s="5" t="str" cm="1">
        <f t="array" ref="U94">IFERROR(MID(S94,MATCH(TRUE,ISNUMBER(1*MID(S94,ROW($1:$12),1)),0),COUNT(1*MID(S94,ROW($1:$12),1))),"غير محدد")</f>
        <v>غير محدد</v>
      </c>
      <c r="V94" s="5" t="s">
        <v>93</v>
      </c>
      <c r="W94" s="26">
        <f>الشمالي!$K91/الشمالي!$P91</f>
        <v>8.9059405940594054</v>
      </c>
      <c r="X94" s="22">
        <f t="shared" si="22"/>
        <v>1</v>
      </c>
      <c r="Y94" s="22">
        <f t="shared" si="23"/>
        <v>0.14285714285714285</v>
      </c>
      <c r="Z94" s="22">
        <f t="shared" si="24"/>
        <v>4.5454545454545456E-2</v>
      </c>
      <c r="AA94" s="22" t="str">
        <f t="shared" ca="1" si="25"/>
        <v xml:space="preserve">0 </v>
      </c>
      <c r="AB94" s="5"/>
      <c r="AD94" s="5"/>
      <c r="AE94" s="5"/>
      <c r="AJ94" s="5"/>
    </row>
    <row r="95" spans="1:36" ht="22.15" customHeight="1" x14ac:dyDescent="0.2">
      <c r="A95" s="5" t="s">
        <v>37</v>
      </c>
      <c r="B95" s="5" t="s">
        <v>15</v>
      </c>
      <c r="C95" s="6" t="s">
        <v>16</v>
      </c>
      <c r="D95" s="10">
        <v>45760</v>
      </c>
      <c r="F95" s="45" t="str">
        <f t="shared" ca="1" si="19"/>
        <v xml:space="preserve">8  m 3  D </v>
      </c>
      <c r="G95" s="5">
        <v>10093</v>
      </c>
      <c r="H95" s="5">
        <v>35603</v>
      </c>
      <c r="I95" s="22">
        <f t="shared" si="21"/>
        <v>0.2834873465719181</v>
      </c>
      <c r="J95" s="5">
        <v>11</v>
      </c>
      <c r="K95" s="5">
        <v>4871</v>
      </c>
      <c r="L95" s="5">
        <v>4</v>
      </c>
      <c r="M95" s="5">
        <v>10</v>
      </c>
      <c r="N95" s="5">
        <v>0</v>
      </c>
      <c r="O95" s="5">
        <v>1</v>
      </c>
      <c r="P95" s="5">
        <v>489</v>
      </c>
      <c r="Q95" s="5" t="s">
        <v>13</v>
      </c>
      <c r="R95" s="5" t="s">
        <v>90</v>
      </c>
      <c r="S95" s="5" t="s">
        <v>153</v>
      </c>
      <c r="T95" s="25">
        <f t="shared" si="20"/>
        <v>45851</v>
      </c>
      <c r="U95" s="5" t="str" cm="1">
        <f t="array" ref="U95">IFERROR(MID(S95,MATCH(TRUE,ISNUMBER(1*MID(S95,ROW($1:$12),1)),0),COUNT(1*MID(S95,ROW($1:$12),1))),"غير محدد")</f>
        <v>3</v>
      </c>
      <c r="V95" s="5" t="s">
        <v>57</v>
      </c>
      <c r="W95" s="26">
        <f>الشمالي!$K92/الشمالي!$P92</f>
        <v>6.1943231441048034</v>
      </c>
      <c r="X95" s="22">
        <f t="shared" si="22"/>
        <v>0</v>
      </c>
      <c r="Y95" s="22">
        <f t="shared" si="23"/>
        <v>0.4</v>
      </c>
      <c r="Z95" s="22">
        <f t="shared" si="24"/>
        <v>9.0909090909090912E-2</v>
      </c>
      <c r="AA95" s="22" t="str">
        <f t="shared" ca="1" si="25"/>
        <v xml:space="preserve">3   </v>
      </c>
      <c r="AB95" s="5"/>
      <c r="AD95" s="5"/>
      <c r="AE95" s="5"/>
      <c r="AJ95" s="5"/>
    </row>
    <row r="96" spans="1:36" ht="22.15" customHeight="1" x14ac:dyDescent="0.2">
      <c r="A96" s="5" t="s">
        <v>37</v>
      </c>
      <c r="B96" s="5" t="s">
        <v>24</v>
      </c>
      <c r="C96" s="6" t="s">
        <v>16</v>
      </c>
      <c r="D96" s="10">
        <v>44601</v>
      </c>
      <c r="F96" s="45" t="str">
        <f t="shared" ca="1" si="19"/>
        <v xml:space="preserve">10  m 7  D </v>
      </c>
      <c r="G96" s="5">
        <v>5774</v>
      </c>
      <c r="H96" s="5">
        <v>24735</v>
      </c>
      <c r="I96" s="22">
        <f t="shared" si="21"/>
        <v>0.23343440468971094</v>
      </c>
      <c r="J96" s="5">
        <v>11</v>
      </c>
      <c r="K96" s="5">
        <v>4018</v>
      </c>
      <c r="L96" s="5">
        <v>2</v>
      </c>
      <c r="M96" s="5">
        <v>5</v>
      </c>
      <c r="N96" s="5">
        <v>0</v>
      </c>
      <c r="O96" s="5">
        <v>1</v>
      </c>
      <c r="P96" s="5">
        <v>211</v>
      </c>
      <c r="Q96" s="5" t="s">
        <v>21</v>
      </c>
      <c r="R96" s="5">
        <v>1</v>
      </c>
      <c r="S96" s="5" t="s">
        <v>22</v>
      </c>
      <c r="T96" s="25" t="str">
        <f t="shared" si="20"/>
        <v>غير محدد</v>
      </c>
      <c r="U96" s="5" t="str" cm="1">
        <f t="array" ref="U96">IFERROR(MID(S96,MATCH(TRUE,ISNUMBER(1*MID(S96,ROW($1:$12),1)),0),COUNT(1*MID(S96,ROW($1:$12),1))),"غير محدد")</f>
        <v>غير محدد</v>
      </c>
      <c r="V96" s="5" t="s">
        <v>93</v>
      </c>
      <c r="W96" s="26">
        <f>الشمالي!$K92/الشمالي!$P92</f>
        <v>6.1943231441048034</v>
      </c>
      <c r="X96" s="22">
        <f t="shared" si="22"/>
        <v>0</v>
      </c>
      <c r="Y96" s="22">
        <f t="shared" si="23"/>
        <v>0.4</v>
      </c>
      <c r="Z96" s="22">
        <f t="shared" si="24"/>
        <v>9.0909090909090912E-2</v>
      </c>
      <c r="AA96" s="22" t="str">
        <f t="shared" ca="1" si="25"/>
        <v xml:space="preserve">0 </v>
      </c>
      <c r="AB96" s="5"/>
      <c r="AD96" s="5"/>
      <c r="AE96" s="5"/>
      <c r="AJ96" s="5"/>
    </row>
    <row r="97" spans="1:36" ht="22.15" customHeight="1" x14ac:dyDescent="0.2">
      <c r="A97" s="5" t="s">
        <v>37</v>
      </c>
      <c r="B97" s="5" t="s">
        <v>24</v>
      </c>
      <c r="C97" s="6" t="s">
        <v>27</v>
      </c>
      <c r="D97" s="10">
        <v>45321</v>
      </c>
      <c r="F97" s="45" t="str">
        <f t="shared" ca="1" si="19"/>
        <v xml:space="preserve">10  m 16  D </v>
      </c>
      <c r="G97" s="5">
        <v>1605</v>
      </c>
      <c r="H97" s="5">
        <v>98076</v>
      </c>
      <c r="I97" s="22">
        <f t="shared" si="21"/>
        <v>1.6364859904563808E-2</v>
      </c>
      <c r="J97" s="5">
        <v>23</v>
      </c>
      <c r="K97" s="5">
        <v>3013</v>
      </c>
      <c r="L97" s="5">
        <v>102</v>
      </c>
      <c r="M97" s="5">
        <v>24</v>
      </c>
      <c r="N97" s="5">
        <v>4</v>
      </c>
      <c r="O97" s="5">
        <v>17</v>
      </c>
      <c r="P97" s="5">
        <v>294</v>
      </c>
      <c r="Q97" s="5" t="s">
        <v>13</v>
      </c>
      <c r="R97" s="5" t="s">
        <v>90</v>
      </c>
      <c r="S97" s="5" t="s">
        <v>12</v>
      </c>
      <c r="T97" s="25" t="str">
        <f t="shared" si="20"/>
        <v>غير محدد</v>
      </c>
      <c r="U97" s="5" t="str" cm="1">
        <f t="array" ref="U97">IFERROR(MID(S97,MATCH(TRUE,ISNUMBER(1*MID(S97,ROW($1:$12),1)),0),COUNT(1*MID(S97,ROW($1:$12),1))),"غير محدد")</f>
        <v>غير محدد</v>
      </c>
      <c r="V97" s="5" t="s">
        <v>93</v>
      </c>
      <c r="W97" s="26">
        <f>الشمالي!$K93/الشمالي!$P93</f>
        <v>14.305825242718447</v>
      </c>
      <c r="X97" s="22">
        <f t="shared" si="22"/>
        <v>3.9215686274509803E-2</v>
      </c>
      <c r="Y97" s="22">
        <f t="shared" si="23"/>
        <v>4.25</v>
      </c>
      <c r="Z97" s="22">
        <f t="shared" si="24"/>
        <v>0.73913043478260865</v>
      </c>
      <c r="AA97" s="22" t="str">
        <f t="shared" ca="1" si="25"/>
        <v xml:space="preserve">0 </v>
      </c>
      <c r="AB97" s="5"/>
      <c r="AD97" s="5"/>
      <c r="AE97" s="5"/>
      <c r="AJ97" s="5"/>
    </row>
    <row r="98" spans="1:36" ht="22.15" customHeight="1" x14ac:dyDescent="0.2">
      <c r="A98" s="5" t="s">
        <v>37</v>
      </c>
      <c r="B98" s="5" t="s">
        <v>24</v>
      </c>
      <c r="C98" s="6" t="s">
        <v>27</v>
      </c>
      <c r="D98" s="10">
        <v>45760</v>
      </c>
      <c r="F98" s="45" t="str">
        <f t="shared" ref="F98:F126" ca="1" si="26">IFERROR(DATEDIF(D98,TODAY(),"YM") &amp; "  m " &amp; DATEDIF(D98,TODAY(),"MD") &amp; "  D "," ")</f>
        <v xml:space="preserve">8  m 3  D </v>
      </c>
      <c r="G98" s="5">
        <v>24256</v>
      </c>
      <c r="H98" s="5">
        <v>55920</v>
      </c>
      <c r="I98" s="22">
        <f t="shared" si="21"/>
        <v>0.43376251788268955</v>
      </c>
      <c r="J98" s="5">
        <v>16</v>
      </c>
      <c r="K98" s="5">
        <v>3629</v>
      </c>
      <c r="L98" s="5">
        <v>165</v>
      </c>
      <c r="M98" s="5">
        <v>40</v>
      </c>
      <c r="N98" s="5">
        <v>6</v>
      </c>
      <c r="O98" s="5">
        <v>1</v>
      </c>
      <c r="P98" s="5">
        <v>259</v>
      </c>
      <c r="Q98" s="5" t="s">
        <v>13</v>
      </c>
      <c r="R98" s="5" t="s">
        <v>90</v>
      </c>
      <c r="S98" s="5" t="s">
        <v>151</v>
      </c>
      <c r="T98" s="25">
        <f t="shared" ref="T98:T131" si="27">IFERROR(IF(U98&gt;=1,EDATE(D98,U98),"غير محدد"),"غير محدد")</f>
        <v>45790</v>
      </c>
      <c r="U98" s="5" t="str" cm="1">
        <f t="array" ref="U98">IFERROR(MID(S98,MATCH(TRUE,ISNUMBER(1*MID(S98,ROW($1:$12),1)),0),COUNT(1*MID(S98,ROW($1:$12),1))),"غير محدد")</f>
        <v>1</v>
      </c>
      <c r="V98" s="5" t="s">
        <v>57</v>
      </c>
      <c r="W98" s="26">
        <f>الشمالي!$K97/الشمالي!$P97</f>
        <v>10.248299319727892</v>
      </c>
      <c r="X98" s="22">
        <f t="shared" si="22"/>
        <v>3.6363636363636362E-2</v>
      </c>
      <c r="Y98" s="22">
        <f t="shared" si="23"/>
        <v>4.125</v>
      </c>
      <c r="Z98" s="22">
        <f t="shared" si="24"/>
        <v>6.25E-2</v>
      </c>
      <c r="AA98" s="22" t="str">
        <f t="shared" ca="1" si="25"/>
        <v xml:space="preserve">3   </v>
      </c>
      <c r="AB98" s="5"/>
      <c r="AD98" s="5"/>
      <c r="AE98" s="5"/>
      <c r="AJ98" s="5"/>
    </row>
    <row r="99" spans="1:36" ht="22.15" customHeight="1" x14ac:dyDescent="0.2">
      <c r="A99" s="5" t="s">
        <v>37</v>
      </c>
      <c r="B99" s="5" t="s">
        <v>38</v>
      </c>
      <c r="C99" s="6" t="s">
        <v>16</v>
      </c>
      <c r="D99" s="10">
        <v>44577</v>
      </c>
      <c r="F99" s="45" t="str">
        <f t="shared" ca="1" si="26"/>
        <v xml:space="preserve">11  m 0  D </v>
      </c>
      <c r="G99" s="5">
        <v>2281</v>
      </c>
      <c r="H99" s="5">
        <v>66843</v>
      </c>
      <c r="I99" s="22">
        <f t="shared" ref="I99:I126" si="28">G99/H99</f>
        <v>3.4124740062534596E-2</v>
      </c>
      <c r="J99" s="5">
        <v>83</v>
      </c>
      <c r="K99" s="5">
        <v>1194</v>
      </c>
      <c r="L99" s="5">
        <v>3</v>
      </c>
      <c r="M99" s="5">
        <v>158</v>
      </c>
      <c r="N99" s="5">
        <v>0</v>
      </c>
      <c r="O99" s="5">
        <v>66</v>
      </c>
      <c r="P99" s="5">
        <v>130</v>
      </c>
      <c r="Q99" s="5" t="s">
        <v>21</v>
      </c>
      <c r="R99" s="5">
        <v>1</v>
      </c>
      <c r="S99" s="5" t="s">
        <v>22</v>
      </c>
      <c r="T99" s="25" t="str">
        <f t="shared" si="27"/>
        <v>غير محدد</v>
      </c>
      <c r="U99" s="5" t="str" cm="1">
        <f t="array" ref="U99">IFERROR(MID(S99,MATCH(TRUE,ISNUMBER(1*MID(S99,ROW($1:$12),1)),0),COUNT(1*MID(S99,ROW($1:$12),1))),"غير محدد")</f>
        <v>غير محدد</v>
      </c>
      <c r="V99" s="5" t="s">
        <v>93</v>
      </c>
      <c r="W99" s="26">
        <f>الشمالي!$K95/الشمالي!$P95</f>
        <v>9.9611451942740281</v>
      </c>
      <c r="X99" s="22">
        <f t="shared" ref="X99:X126" si="29">N99/L99</f>
        <v>0</v>
      </c>
      <c r="Y99" s="22">
        <f t="shared" ref="Y99:Y126" si="30">L99/M99</f>
        <v>1.8987341772151899E-2</v>
      </c>
      <c r="Z99" s="22">
        <f t="shared" ref="Z99:Z126" si="31">O99/J99</f>
        <v>0.79518072289156627</v>
      </c>
      <c r="AA99" s="22" t="str">
        <f t="shared" ref="AA99:AA126" ca="1" si="32">IFERROR(DATEDIF(T99,TODAY(),"MD") &amp; "   ","0 ")</f>
        <v xml:space="preserve">0 </v>
      </c>
      <c r="AB99" s="5"/>
      <c r="AD99" s="5"/>
      <c r="AE99" s="5"/>
      <c r="AJ99" s="5"/>
    </row>
    <row r="100" spans="1:36" ht="22.15" customHeight="1" x14ac:dyDescent="0.2">
      <c r="A100" s="5" t="s">
        <v>37</v>
      </c>
      <c r="B100" s="5" t="s">
        <v>38</v>
      </c>
      <c r="C100" s="6" t="s">
        <v>16</v>
      </c>
      <c r="D100" s="10">
        <v>45321</v>
      </c>
      <c r="F100" s="45" t="str">
        <f t="shared" ca="1" si="26"/>
        <v xml:space="preserve">10  m 16  D </v>
      </c>
      <c r="G100" s="5">
        <v>7565</v>
      </c>
      <c r="H100" s="5">
        <v>101734</v>
      </c>
      <c r="I100" s="22">
        <f t="shared" si="28"/>
        <v>7.4360587414237123E-2</v>
      </c>
      <c r="J100" s="5">
        <v>26</v>
      </c>
      <c r="K100" s="5">
        <v>1302</v>
      </c>
      <c r="L100" s="5">
        <v>3</v>
      </c>
      <c r="M100" s="5">
        <v>166</v>
      </c>
      <c r="N100" s="5">
        <v>0</v>
      </c>
      <c r="O100" s="5">
        <v>88</v>
      </c>
      <c r="P100" s="5">
        <v>168</v>
      </c>
      <c r="Q100" s="5" t="s">
        <v>10</v>
      </c>
      <c r="R100" s="5" t="s">
        <v>96</v>
      </c>
      <c r="S100" s="5" t="s">
        <v>12</v>
      </c>
      <c r="T100" s="25" t="str">
        <f t="shared" si="27"/>
        <v>غير محدد</v>
      </c>
      <c r="U100" s="5" t="str" cm="1">
        <f t="array" ref="U100">IFERROR(MID(S100,MATCH(TRUE,ISNUMBER(1*MID(S100,ROW($1:$12),1)),0),COUNT(1*MID(S100,ROW($1:$12),1))),"غير محدد")</f>
        <v>غير محدد</v>
      </c>
      <c r="V100" s="5" t="s">
        <v>93</v>
      </c>
      <c r="W100" s="26">
        <f>الشمالي!$K97/الشمالي!$P97</f>
        <v>10.248299319727892</v>
      </c>
      <c r="X100" s="22">
        <f t="shared" si="29"/>
        <v>0</v>
      </c>
      <c r="Y100" s="22">
        <f t="shared" si="30"/>
        <v>1.8072289156626505E-2</v>
      </c>
      <c r="Z100" s="22">
        <f t="shared" si="31"/>
        <v>3.3846153846153846</v>
      </c>
      <c r="AA100" s="22" t="str">
        <f t="shared" ca="1" si="32"/>
        <v xml:space="preserve">0 </v>
      </c>
      <c r="AB100" s="5"/>
      <c r="AD100" s="5"/>
      <c r="AE100" s="5"/>
      <c r="AJ100" s="5"/>
    </row>
    <row r="101" spans="1:36" ht="22.15" customHeight="1" x14ac:dyDescent="0.2">
      <c r="A101" s="5" t="s">
        <v>37</v>
      </c>
      <c r="B101" s="5" t="s">
        <v>38</v>
      </c>
      <c r="C101" s="6" t="s">
        <v>16</v>
      </c>
      <c r="D101" s="10">
        <v>45405</v>
      </c>
      <c r="F101" s="45" t="str">
        <f t="shared" ca="1" si="26"/>
        <v xml:space="preserve">7  m 23  D </v>
      </c>
      <c r="G101" s="5">
        <v>6765</v>
      </c>
      <c r="H101" s="5">
        <v>80712</v>
      </c>
      <c r="I101" s="22">
        <f t="shared" si="28"/>
        <v>8.3816532857567641E-2</v>
      </c>
      <c r="J101" s="5">
        <v>22</v>
      </c>
      <c r="K101" s="5">
        <v>1172</v>
      </c>
      <c r="L101" s="5">
        <v>1</v>
      </c>
      <c r="M101" s="5">
        <v>115</v>
      </c>
      <c r="N101" s="5">
        <v>0</v>
      </c>
      <c r="O101" s="5">
        <v>73</v>
      </c>
      <c r="P101" s="5">
        <v>136</v>
      </c>
      <c r="Q101" s="5" t="s">
        <v>166</v>
      </c>
      <c r="R101" s="5" t="s">
        <v>90</v>
      </c>
      <c r="S101" s="5" t="s">
        <v>150</v>
      </c>
      <c r="T101" s="25">
        <f t="shared" si="27"/>
        <v>45588</v>
      </c>
      <c r="U101" s="5" t="str" cm="1">
        <f t="array" ref="U101">IFERROR(MID(S101,MATCH(TRUE,ISNUMBER(1*MID(S101,ROW($1:$12),1)),0),COUNT(1*MID(S101,ROW($1:$12),1))),"غير محدد")</f>
        <v>6</v>
      </c>
      <c r="V101" s="5" t="s">
        <v>93</v>
      </c>
      <c r="W101" s="26">
        <f>الشمالي!$K98/الشمالي!$P98</f>
        <v>14.011583011583012</v>
      </c>
      <c r="X101" s="22">
        <f t="shared" si="29"/>
        <v>0</v>
      </c>
      <c r="Y101" s="22">
        <f t="shared" si="30"/>
        <v>8.6956521739130436E-3</v>
      </c>
      <c r="Z101" s="22">
        <f t="shared" si="31"/>
        <v>3.3181818181818183</v>
      </c>
      <c r="AA101" s="22" t="str">
        <f t="shared" ca="1" si="32"/>
        <v xml:space="preserve">23   </v>
      </c>
      <c r="AB101" s="5"/>
      <c r="AD101" s="5"/>
      <c r="AE101" s="5"/>
      <c r="AJ101" s="5"/>
    </row>
    <row r="102" spans="1:36" ht="22.15" customHeight="1" x14ac:dyDescent="0.2">
      <c r="A102" s="5" t="s">
        <v>37</v>
      </c>
      <c r="B102" s="5" t="s">
        <v>38</v>
      </c>
      <c r="C102" s="6" t="s">
        <v>16</v>
      </c>
      <c r="D102" s="10">
        <v>45622</v>
      </c>
      <c r="F102" s="45" t="str">
        <f t="shared" ca="1" si="26"/>
        <v xml:space="preserve">0  m 20  D </v>
      </c>
      <c r="G102" s="5">
        <v>9553</v>
      </c>
      <c r="H102" s="5">
        <v>138454</v>
      </c>
      <c r="I102" s="22">
        <f t="shared" si="28"/>
        <v>6.8997645427362156E-2</v>
      </c>
      <c r="J102" s="5">
        <v>25</v>
      </c>
      <c r="K102" s="5">
        <v>1121</v>
      </c>
      <c r="L102" s="5">
        <v>3</v>
      </c>
      <c r="M102" s="5">
        <v>130</v>
      </c>
      <c r="N102" s="5">
        <v>0</v>
      </c>
      <c r="O102" s="5">
        <v>52</v>
      </c>
      <c r="P102" s="5">
        <v>162</v>
      </c>
      <c r="Q102" s="5" t="s">
        <v>10</v>
      </c>
      <c r="R102" s="5" t="s">
        <v>96</v>
      </c>
      <c r="S102" s="5" t="s">
        <v>153</v>
      </c>
      <c r="T102" s="25">
        <f t="shared" si="27"/>
        <v>45714</v>
      </c>
      <c r="U102" s="5" t="str" cm="1">
        <f t="array" ref="U102">IFERROR(MID(S102,MATCH(TRUE,ISNUMBER(1*MID(S102,ROW($1:$12),1)),0),COUNT(1*MID(S102,ROW($1:$12),1))),"غير محدد")</f>
        <v>3</v>
      </c>
      <c r="V102" s="5" t="s">
        <v>93</v>
      </c>
      <c r="W102" s="26">
        <f>الشمالي!$K99/الشمالي!$P99</f>
        <v>9.184615384615384</v>
      </c>
      <c r="X102" s="22">
        <f t="shared" si="29"/>
        <v>0</v>
      </c>
      <c r="Y102" s="22">
        <f t="shared" si="30"/>
        <v>2.3076923076923078E-2</v>
      </c>
      <c r="Z102" s="22">
        <f t="shared" si="31"/>
        <v>2.08</v>
      </c>
      <c r="AA102" s="22" t="str">
        <f t="shared" ca="1" si="32"/>
        <v xml:space="preserve">20   </v>
      </c>
      <c r="AB102" s="5"/>
      <c r="AD102" s="5"/>
      <c r="AE102" s="5"/>
      <c r="AJ102" s="5"/>
    </row>
    <row r="103" spans="1:36" ht="22.15" customHeight="1" x14ac:dyDescent="0.2">
      <c r="A103" s="5" t="s">
        <v>37</v>
      </c>
      <c r="B103" s="5" t="s">
        <v>38</v>
      </c>
      <c r="C103" s="6" t="s">
        <v>16</v>
      </c>
      <c r="D103" s="10">
        <v>45760</v>
      </c>
      <c r="F103" s="45" t="str">
        <f t="shared" ca="1" si="26"/>
        <v xml:space="preserve">8  m 3  D </v>
      </c>
      <c r="G103" s="5">
        <v>1368</v>
      </c>
      <c r="H103" s="5">
        <v>58788</v>
      </c>
      <c r="I103" s="22">
        <f t="shared" si="28"/>
        <v>2.3270055113288425E-2</v>
      </c>
      <c r="J103" s="5">
        <v>32</v>
      </c>
      <c r="K103" s="5">
        <v>1783</v>
      </c>
      <c r="L103" s="5">
        <v>4</v>
      </c>
      <c r="M103" s="5">
        <v>214</v>
      </c>
      <c r="N103" s="5">
        <v>3</v>
      </c>
      <c r="O103" s="5">
        <v>73</v>
      </c>
      <c r="P103" s="5">
        <v>136</v>
      </c>
      <c r="Q103" s="5" t="s">
        <v>128</v>
      </c>
      <c r="R103" s="5" t="s">
        <v>90</v>
      </c>
      <c r="S103" s="5" t="s">
        <v>150</v>
      </c>
      <c r="T103" s="25">
        <f t="shared" si="27"/>
        <v>45943</v>
      </c>
      <c r="U103" s="5" t="str" cm="1">
        <f t="array" ref="U103">IFERROR(MID(S103,MATCH(TRUE,ISNUMBER(1*MID(S103,ROW($1:$12),1)),0),COUNT(1*MID(S103,ROW($1:$12),1))),"غير محدد")</f>
        <v>6</v>
      </c>
      <c r="V103" s="5" t="s">
        <v>93</v>
      </c>
      <c r="W103" s="26">
        <f>الشمالي!$K109/الشمالي!$P109</f>
        <v>16.652173913043477</v>
      </c>
      <c r="X103" s="22">
        <f t="shared" si="29"/>
        <v>0.75</v>
      </c>
      <c r="Y103" s="22">
        <f t="shared" si="30"/>
        <v>1.8691588785046728E-2</v>
      </c>
      <c r="Z103" s="22">
        <f t="shared" si="31"/>
        <v>2.28125</v>
      </c>
      <c r="AA103" s="22" t="str">
        <f t="shared" ca="1" si="32"/>
        <v xml:space="preserve">3   </v>
      </c>
      <c r="AB103" s="5"/>
      <c r="AD103" s="5"/>
      <c r="AE103" s="5"/>
      <c r="AJ103" s="5"/>
    </row>
    <row r="104" spans="1:36" ht="22.15" customHeight="1" x14ac:dyDescent="0.2">
      <c r="A104" s="5" t="s">
        <v>37</v>
      </c>
      <c r="B104" s="5" t="s">
        <v>38</v>
      </c>
      <c r="C104" s="6" t="s">
        <v>16</v>
      </c>
      <c r="D104" s="10">
        <v>45825</v>
      </c>
      <c r="F104" s="45" t="str">
        <f t="shared" ca="1" si="26"/>
        <v xml:space="preserve">5  m 29  D </v>
      </c>
      <c r="G104" s="5">
        <v>128056</v>
      </c>
      <c r="H104" s="5">
        <v>770416</v>
      </c>
      <c r="I104" s="22">
        <f t="shared" si="28"/>
        <v>0.16621669331893418</v>
      </c>
      <c r="J104" s="5">
        <v>33</v>
      </c>
      <c r="K104" s="5">
        <v>2579</v>
      </c>
      <c r="L104" s="5">
        <v>2</v>
      </c>
      <c r="M104" s="5">
        <v>262</v>
      </c>
      <c r="N104" s="5">
        <v>0</v>
      </c>
      <c r="O104" s="5">
        <v>89</v>
      </c>
      <c r="P104" s="5">
        <v>196</v>
      </c>
      <c r="Q104" s="5" t="s">
        <v>11</v>
      </c>
      <c r="R104" s="5" t="s">
        <v>90</v>
      </c>
      <c r="S104" s="5" t="s">
        <v>151</v>
      </c>
      <c r="T104" s="25">
        <f t="shared" si="27"/>
        <v>45855</v>
      </c>
      <c r="U104" s="5" t="str" cm="1">
        <f t="array" ref="U104">IFERROR(MID(S104,MATCH(TRUE,ISNUMBER(1*MID(S104,ROW($1:$12),1)),0),COUNT(1*MID(S104,ROW($1:$12),1))),"غير محدد")</f>
        <v>1</v>
      </c>
      <c r="V104" s="5" t="s">
        <v>57</v>
      </c>
      <c r="W104" s="26">
        <f>الشمالي!$K111/الشمالي!$P111</f>
        <v>14.122362869198312</v>
      </c>
      <c r="X104" s="22">
        <f t="shared" si="29"/>
        <v>0</v>
      </c>
      <c r="Y104" s="22">
        <f t="shared" si="30"/>
        <v>7.6335877862595417E-3</v>
      </c>
      <c r="Z104" s="22">
        <f t="shared" si="31"/>
        <v>2.6969696969696968</v>
      </c>
      <c r="AA104" s="22" t="str">
        <f t="shared" ca="1" si="32"/>
        <v xml:space="preserve">29   </v>
      </c>
      <c r="AB104" s="5"/>
      <c r="AD104" s="5"/>
      <c r="AE104" s="5"/>
      <c r="AJ104" s="5"/>
    </row>
    <row r="105" spans="1:36" ht="22.15" customHeight="1" x14ac:dyDescent="0.2">
      <c r="A105" s="5" t="s">
        <v>37</v>
      </c>
      <c r="B105" s="5" t="s">
        <v>39</v>
      </c>
      <c r="C105" s="6" t="s">
        <v>16</v>
      </c>
      <c r="D105" s="10">
        <v>44577</v>
      </c>
      <c r="F105" s="45" t="str">
        <f t="shared" ca="1" si="26"/>
        <v xml:space="preserve">11  m 0  D </v>
      </c>
      <c r="G105" s="5">
        <v>17225</v>
      </c>
      <c r="H105" s="5">
        <v>56121</v>
      </c>
      <c r="I105" s="22">
        <f t="shared" si="28"/>
        <v>0.30692610609219367</v>
      </c>
      <c r="J105" s="5">
        <v>18</v>
      </c>
      <c r="K105" s="5">
        <v>1519</v>
      </c>
      <c r="L105" s="5">
        <v>7</v>
      </c>
      <c r="M105" s="5">
        <v>5</v>
      </c>
      <c r="N105" s="5">
        <v>0</v>
      </c>
      <c r="O105" s="5">
        <v>8</v>
      </c>
      <c r="P105" s="5">
        <v>154</v>
      </c>
      <c r="Q105" s="5" t="s">
        <v>21</v>
      </c>
      <c r="R105" s="5">
        <v>1</v>
      </c>
      <c r="S105" s="5" t="s">
        <v>22</v>
      </c>
      <c r="T105" s="25" t="str">
        <f t="shared" si="27"/>
        <v>غير محدد</v>
      </c>
      <c r="U105" s="5" t="str" cm="1">
        <f t="array" ref="U105">IFERROR(MID(S105,MATCH(TRUE,ISNUMBER(1*MID(S105,ROW($1:$12),1)),0),COUNT(1*MID(S105,ROW($1:$12),1))),"غير محدد")</f>
        <v>غير محدد</v>
      </c>
      <c r="V105" s="5" t="s">
        <v>93</v>
      </c>
      <c r="W105" s="26">
        <f>الشمالي!$K99/الشمالي!$P99</f>
        <v>9.184615384615384</v>
      </c>
      <c r="X105" s="22">
        <f t="shared" si="29"/>
        <v>0</v>
      </c>
      <c r="Y105" s="22">
        <f t="shared" si="30"/>
        <v>1.4</v>
      </c>
      <c r="Z105" s="22">
        <f t="shared" si="31"/>
        <v>0.44444444444444442</v>
      </c>
      <c r="AA105" s="22" t="str">
        <f t="shared" ca="1" si="32"/>
        <v xml:space="preserve">0 </v>
      </c>
      <c r="AB105" s="5"/>
      <c r="AD105" s="5"/>
      <c r="AE105" s="5"/>
      <c r="AJ105" s="5"/>
    </row>
    <row r="106" spans="1:36" ht="22.15" customHeight="1" x14ac:dyDescent="0.2">
      <c r="A106" s="5" t="s">
        <v>37</v>
      </c>
      <c r="B106" s="5" t="s">
        <v>39</v>
      </c>
      <c r="C106" s="6" t="s">
        <v>16</v>
      </c>
      <c r="D106" s="10">
        <v>44943</v>
      </c>
      <c r="F106" s="45" t="str">
        <f t="shared" ca="1" si="26"/>
        <v xml:space="preserve">10  m 29  D </v>
      </c>
      <c r="G106" s="5">
        <v>3205</v>
      </c>
      <c r="H106" s="5">
        <v>46781</v>
      </c>
      <c r="I106" s="22">
        <f t="shared" si="28"/>
        <v>6.8510720164169217E-2</v>
      </c>
      <c r="J106" s="5">
        <v>8</v>
      </c>
      <c r="K106" s="5">
        <v>260</v>
      </c>
      <c r="L106" s="5">
        <v>2</v>
      </c>
      <c r="M106" s="5">
        <v>3</v>
      </c>
      <c r="N106" s="5">
        <v>0</v>
      </c>
      <c r="O106" s="5">
        <v>1</v>
      </c>
      <c r="P106" s="5">
        <v>421</v>
      </c>
      <c r="Q106" s="5" t="s">
        <v>21</v>
      </c>
      <c r="R106" s="5">
        <v>1</v>
      </c>
      <c r="S106" s="5" t="s">
        <v>22</v>
      </c>
      <c r="T106" s="25" t="str">
        <f t="shared" si="27"/>
        <v>غير محدد</v>
      </c>
      <c r="U106" s="5" t="str" cm="1">
        <f t="array" ref="U106">IFERROR(MID(S106,MATCH(TRUE,ISNUMBER(1*MID(S106,ROW($1:$12),1)),0),COUNT(1*MID(S106,ROW($1:$12),1))),"غير محدد")</f>
        <v>غير محدد</v>
      </c>
      <c r="V106" s="5" t="s">
        <v>93</v>
      </c>
      <c r="W106" s="26">
        <f>الشمالي!$K101/الشمالي!$P101</f>
        <v>8.617647058823529</v>
      </c>
      <c r="X106" s="22">
        <f t="shared" si="29"/>
        <v>0</v>
      </c>
      <c r="Y106" s="22">
        <f t="shared" si="30"/>
        <v>0.66666666666666663</v>
      </c>
      <c r="Z106" s="22">
        <f t="shared" si="31"/>
        <v>0.125</v>
      </c>
      <c r="AA106" s="22" t="str">
        <f t="shared" ca="1" si="32"/>
        <v xml:space="preserve">0 </v>
      </c>
      <c r="AB106" s="5"/>
      <c r="AD106" s="5"/>
      <c r="AE106" s="5"/>
      <c r="AJ106" s="5"/>
    </row>
    <row r="107" spans="1:36" ht="22.15" customHeight="1" x14ac:dyDescent="0.2">
      <c r="A107" s="5" t="s">
        <v>37</v>
      </c>
      <c r="B107" s="5" t="s">
        <v>18</v>
      </c>
      <c r="C107" s="6" t="s">
        <v>209</v>
      </c>
      <c r="D107" s="10">
        <v>45825</v>
      </c>
      <c r="F107" s="45" t="str">
        <f t="shared" ca="1" si="26"/>
        <v xml:space="preserve">5  m 29  D </v>
      </c>
      <c r="G107" s="5">
        <v>107963</v>
      </c>
      <c r="H107" s="5">
        <v>606041</v>
      </c>
      <c r="I107" s="22">
        <f t="shared" si="28"/>
        <v>0.17814471298146495</v>
      </c>
      <c r="J107" s="5">
        <v>60</v>
      </c>
      <c r="K107" s="5">
        <v>5473</v>
      </c>
      <c r="L107" s="5">
        <v>143</v>
      </c>
      <c r="M107" s="5">
        <v>35</v>
      </c>
      <c r="N107" s="5">
        <v>7</v>
      </c>
      <c r="O107" s="5">
        <v>34</v>
      </c>
      <c r="P107" s="5">
        <v>405</v>
      </c>
      <c r="Q107" s="5" t="s">
        <v>13</v>
      </c>
      <c r="R107" s="5" t="s">
        <v>90</v>
      </c>
      <c r="S107" s="5" t="s">
        <v>151</v>
      </c>
      <c r="T107" s="25">
        <f t="shared" si="27"/>
        <v>45855</v>
      </c>
      <c r="U107" s="5" t="str" cm="1">
        <f t="array" ref="U107">IFERROR(MID(S107,MATCH(TRUE,ISNUMBER(1*MID(S107,ROW($1:$12),1)),0),COUNT(1*MID(S107,ROW($1:$12),1))),"غير محدد")</f>
        <v>1</v>
      </c>
      <c r="V107" s="5" t="s">
        <v>57</v>
      </c>
      <c r="W107" s="26">
        <f>الشمالي!$K102/الشمالي!$P102</f>
        <v>6.9197530864197532</v>
      </c>
      <c r="X107" s="22">
        <f t="shared" si="29"/>
        <v>4.8951048951048952E-2</v>
      </c>
      <c r="Y107" s="22">
        <f t="shared" si="30"/>
        <v>4.0857142857142854</v>
      </c>
      <c r="Z107" s="22">
        <f t="shared" si="31"/>
        <v>0.56666666666666665</v>
      </c>
      <c r="AA107" s="22" t="str">
        <f t="shared" ca="1" si="32"/>
        <v xml:space="preserve">29   </v>
      </c>
      <c r="AB107" s="5"/>
      <c r="AD107" s="5"/>
      <c r="AE107" s="5"/>
      <c r="AJ107" s="5"/>
    </row>
    <row r="108" spans="1:36" ht="22.15" customHeight="1" x14ac:dyDescent="0.2">
      <c r="A108" s="5" t="s">
        <v>198</v>
      </c>
      <c r="B108" s="5" t="s">
        <v>15</v>
      </c>
      <c r="C108" s="6" t="s">
        <v>27</v>
      </c>
      <c r="D108" s="10">
        <v>45760</v>
      </c>
      <c r="F108" s="45" t="str">
        <f t="shared" ca="1" si="26"/>
        <v xml:space="preserve">8  m 3  D </v>
      </c>
      <c r="G108" s="5">
        <v>5194</v>
      </c>
      <c r="H108" s="5">
        <v>59083</v>
      </c>
      <c r="I108" s="22">
        <f t="shared" si="28"/>
        <v>8.7910227984360989E-2</v>
      </c>
      <c r="J108" s="5">
        <v>90</v>
      </c>
      <c r="K108" s="5">
        <v>6314</v>
      </c>
      <c r="L108" s="5">
        <v>7</v>
      </c>
      <c r="M108" s="5">
        <v>12</v>
      </c>
      <c r="N108" s="5">
        <v>0</v>
      </c>
      <c r="O108" s="5">
        <v>1</v>
      </c>
      <c r="P108" s="5">
        <v>495</v>
      </c>
      <c r="Q108" s="5" t="s">
        <v>13</v>
      </c>
      <c r="R108" s="5" t="s">
        <v>90</v>
      </c>
      <c r="S108" s="5" t="s">
        <v>151</v>
      </c>
      <c r="T108" s="25">
        <f t="shared" si="27"/>
        <v>45790</v>
      </c>
      <c r="U108" s="5" t="str" cm="1">
        <f t="array" ref="U108">IFERROR(MID(S108,MATCH(TRUE,ISNUMBER(1*MID(S108,ROW($1:$11),1)),0),COUNT(1*MID(S108,ROW($1:$11),1))),"غير محدد")</f>
        <v>1</v>
      </c>
      <c r="V108" s="5" t="s">
        <v>93</v>
      </c>
      <c r="W108" s="26">
        <f>الشمالي!$K124/الشمالي!$P124</f>
        <v>10.687344913151366</v>
      </c>
      <c r="X108" s="22">
        <f t="shared" si="29"/>
        <v>0</v>
      </c>
      <c r="Y108" s="22">
        <f t="shared" si="30"/>
        <v>0.58333333333333337</v>
      </c>
      <c r="Z108" s="22">
        <f t="shared" si="31"/>
        <v>1.1111111111111112E-2</v>
      </c>
      <c r="AA108" s="22" t="str">
        <f t="shared" ca="1" si="32"/>
        <v xml:space="preserve">3   </v>
      </c>
      <c r="AB108" s="5"/>
      <c r="AD108" s="5"/>
      <c r="AE108" s="5"/>
      <c r="AJ108" s="5"/>
    </row>
    <row r="109" spans="1:36" ht="22.15" customHeight="1" x14ac:dyDescent="0.2">
      <c r="A109" s="5" t="s">
        <v>198</v>
      </c>
      <c r="B109" s="5" t="s">
        <v>15</v>
      </c>
      <c r="C109" s="6" t="s">
        <v>27</v>
      </c>
      <c r="D109" s="10">
        <v>45825</v>
      </c>
      <c r="F109" s="45" t="str">
        <f t="shared" ca="1" si="26"/>
        <v xml:space="preserve">5  m 29  D </v>
      </c>
      <c r="G109" s="5">
        <v>25482</v>
      </c>
      <c r="H109" s="5">
        <v>147157</v>
      </c>
      <c r="I109" s="22">
        <f t="shared" si="28"/>
        <v>0.1731619970507689</v>
      </c>
      <c r="J109" s="5">
        <v>180</v>
      </c>
      <c r="K109" s="5">
        <v>6511</v>
      </c>
      <c r="L109" s="5">
        <v>9</v>
      </c>
      <c r="M109" s="5">
        <v>9</v>
      </c>
      <c r="N109" s="5">
        <v>0</v>
      </c>
      <c r="O109" s="5">
        <v>7</v>
      </c>
      <c r="P109" s="5">
        <v>391</v>
      </c>
      <c r="Q109" s="5" t="s">
        <v>13</v>
      </c>
      <c r="R109" s="5" t="s">
        <v>90</v>
      </c>
      <c r="S109" s="5" t="s">
        <v>151</v>
      </c>
      <c r="T109" s="25">
        <f t="shared" si="27"/>
        <v>45855</v>
      </c>
      <c r="U109" s="5" t="str" cm="1">
        <f t="array" ref="U109">IFERROR(MID(S109,MATCH(TRUE,ISNUMBER(1*MID(S109,ROW($1:$11),1)),0),COUNT(1*MID(S109,ROW($1:$11),1))),"غير محدد")</f>
        <v>1</v>
      </c>
      <c r="V109" s="5" t="s">
        <v>93</v>
      </c>
      <c r="W109" s="26" t="e">
        <f>الشمالي!#REF!/الشمالي!#REF!</f>
        <v>#REF!</v>
      </c>
      <c r="X109" s="22">
        <f t="shared" si="29"/>
        <v>0</v>
      </c>
      <c r="Y109" s="22">
        <f t="shared" si="30"/>
        <v>1</v>
      </c>
      <c r="Z109" s="22">
        <f t="shared" si="31"/>
        <v>3.888888888888889E-2</v>
      </c>
      <c r="AA109" s="22" t="str">
        <f t="shared" ca="1" si="32"/>
        <v xml:space="preserve">29   </v>
      </c>
      <c r="AB109" s="5"/>
      <c r="AD109" s="5"/>
      <c r="AE109" s="5"/>
      <c r="AJ109" s="5"/>
    </row>
    <row r="110" spans="1:36" ht="22.15" customHeight="1" x14ac:dyDescent="0.2">
      <c r="A110" s="5" t="s">
        <v>198</v>
      </c>
      <c r="B110" s="5" t="s">
        <v>15</v>
      </c>
      <c r="C110" s="6" t="s">
        <v>27</v>
      </c>
      <c r="D110" s="10">
        <v>45925</v>
      </c>
      <c r="E110" s="53">
        <v>45944</v>
      </c>
      <c r="F110" s="45" t="str">
        <f t="shared" ref="F110" ca="1" si="33">IFERROR(DATEDIF(D110,TODAY(),"YM") &amp; "  m " &amp; DATEDIF(D110,TODAY(),"MD") &amp; "  D "," ")</f>
        <v xml:space="preserve">2  m 21  D </v>
      </c>
      <c r="G110" s="5">
        <v>15640</v>
      </c>
      <c r="H110" s="5">
        <v>136405</v>
      </c>
      <c r="I110" s="22">
        <f t="shared" ref="I110" si="34">G110/H110</f>
        <v>0.11465855357208314</v>
      </c>
      <c r="J110" s="5">
        <v>305</v>
      </c>
      <c r="K110" s="5">
        <v>6718</v>
      </c>
      <c r="L110" s="5">
        <v>8</v>
      </c>
      <c r="M110" s="5">
        <v>9</v>
      </c>
      <c r="N110" s="5">
        <v>0</v>
      </c>
      <c r="O110" s="5">
        <v>1</v>
      </c>
      <c r="P110" s="5">
        <v>418</v>
      </c>
      <c r="Q110" s="5" t="s">
        <v>13</v>
      </c>
      <c r="R110" s="5" t="s">
        <v>90</v>
      </c>
      <c r="S110" s="5" t="s">
        <v>151</v>
      </c>
      <c r="T110" s="25">
        <f t="shared" ref="T110" si="35">IFERROR(IF(U110&gt;=1,EDATE(D110,U110),"غير محدد"),"غير محدد")</f>
        <v>45955</v>
      </c>
      <c r="U110" s="5" t="str" cm="1">
        <f t="array" ref="U110">IFERROR(MID(S110,MATCH(TRUE,ISNUMBER(1*MID(S110,ROW($1:$11),1)),0),COUNT(1*MID(S110,ROW($1:$11),1))),"غير محدد")</f>
        <v>1</v>
      </c>
      <c r="V110" s="5" t="s">
        <v>57</v>
      </c>
      <c r="W110" s="26" t="e">
        <f>الشمالي!#REF!/الشمالي!#REF!</f>
        <v>#REF!</v>
      </c>
      <c r="X110" s="22">
        <f t="shared" ref="X110" si="36">N110/L110</f>
        <v>0</v>
      </c>
      <c r="Y110" s="22">
        <f t="shared" ref="Y110" si="37">L110/M110</f>
        <v>0.88888888888888884</v>
      </c>
      <c r="Z110" s="22">
        <f t="shared" ref="Z110" si="38">O110/J110</f>
        <v>3.2786885245901639E-3</v>
      </c>
      <c r="AA110" s="22" t="str">
        <f t="shared" ref="AA110" ca="1" si="39">IFERROR(DATEDIF(T110,TODAY(),"MD") &amp; "   ","0 ")</f>
        <v xml:space="preserve">21   </v>
      </c>
      <c r="AB110" s="5"/>
      <c r="AD110" s="5"/>
      <c r="AE110" s="5"/>
      <c r="AJ110" s="5"/>
    </row>
    <row r="111" spans="1:36" ht="22.15" customHeight="1" x14ac:dyDescent="0.2">
      <c r="A111" s="5" t="s">
        <v>198</v>
      </c>
      <c r="B111" s="5" t="s">
        <v>39</v>
      </c>
      <c r="C111" s="6" t="s">
        <v>27</v>
      </c>
      <c r="D111" s="10">
        <v>45760</v>
      </c>
      <c r="F111" s="45" t="str">
        <f t="shared" ca="1" si="26"/>
        <v xml:space="preserve">8  m 3  D </v>
      </c>
      <c r="G111" s="5">
        <v>1522</v>
      </c>
      <c r="H111" s="5">
        <v>62901</v>
      </c>
      <c r="I111" s="22">
        <f t="shared" si="28"/>
        <v>2.4196753628718145E-2</v>
      </c>
      <c r="J111" s="5">
        <v>67</v>
      </c>
      <c r="K111" s="5">
        <v>6694</v>
      </c>
      <c r="L111" s="5">
        <v>6</v>
      </c>
      <c r="M111" s="5">
        <v>9</v>
      </c>
      <c r="N111" s="5">
        <v>0</v>
      </c>
      <c r="O111" s="5">
        <v>1</v>
      </c>
      <c r="P111" s="5">
        <v>474</v>
      </c>
      <c r="Q111" s="5" t="s">
        <v>13</v>
      </c>
      <c r="R111" s="5" t="s">
        <v>90</v>
      </c>
      <c r="S111" s="5" t="s">
        <v>151</v>
      </c>
      <c r="T111" s="25">
        <f t="shared" si="27"/>
        <v>45790</v>
      </c>
      <c r="U111" s="5" t="str" cm="1">
        <f t="array" ref="U111">IFERROR(MID(S111,MATCH(TRUE,ISNUMBER(1*MID(S111,ROW($1:$11),1)),0),COUNT(1*MID(S111,ROW($1:$11),1))),"غير محدد")</f>
        <v>1</v>
      </c>
      <c r="V111" s="5" t="s">
        <v>57</v>
      </c>
      <c r="W111" s="26">
        <f>الشمالي!$K124/الشمالي!$P124</f>
        <v>10.687344913151366</v>
      </c>
      <c r="X111" s="22">
        <f t="shared" si="29"/>
        <v>0</v>
      </c>
      <c r="Y111" s="22">
        <f t="shared" si="30"/>
        <v>0.66666666666666663</v>
      </c>
      <c r="Z111" s="22">
        <f t="shared" si="31"/>
        <v>1.4925373134328358E-2</v>
      </c>
      <c r="AA111" s="22" t="str">
        <f t="shared" ca="1" si="32"/>
        <v xml:space="preserve">3   </v>
      </c>
      <c r="AB111" s="5"/>
      <c r="AD111" s="5"/>
      <c r="AE111" s="5"/>
      <c r="AJ111" s="5"/>
    </row>
    <row r="112" spans="1:36" ht="22.15" customHeight="1" x14ac:dyDescent="0.25">
      <c r="A112" s="5" t="s">
        <v>198</v>
      </c>
      <c r="B112" s="5" t="s">
        <v>39</v>
      </c>
      <c r="C112" s="6" t="s">
        <v>27</v>
      </c>
      <c r="D112" s="10">
        <v>45825</v>
      </c>
      <c r="F112" s="45" t="str">
        <f t="shared" ca="1" si="26"/>
        <v xml:space="preserve">5  m 29  D </v>
      </c>
      <c r="G112" s="5">
        <v>9362</v>
      </c>
      <c r="H112" s="5">
        <v>77176</v>
      </c>
      <c r="I112" s="22">
        <f t="shared" si="28"/>
        <v>0.12130714211672022</v>
      </c>
      <c r="J112" s="5">
        <v>245</v>
      </c>
      <c r="K112" s="5">
        <v>7228</v>
      </c>
      <c r="L112" s="5">
        <v>9</v>
      </c>
      <c r="M112" s="5">
        <v>10</v>
      </c>
      <c r="N112" s="5">
        <v>0</v>
      </c>
      <c r="O112" s="5">
        <v>8</v>
      </c>
      <c r="P112" s="5">
        <v>499</v>
      </c>
      <c r="Q112" s="5" t="s">
        <v>13</v>
      </c>
      <c r="R112" s="34" t="s">
        <v>90</v>
      </c>
      <c r="S112" s="5" t="s">
        <v>151</v>
      </c>
      <c r="T112" s="25">
        <f t="shared" si="27"/>
        <v>45855</v>
      </c>
      <c r="U112" s="34" t="str" cm="1">
        <f t="array" ref="U112">IFERROR(MID(S112,MATCH(TRUE,ISNUMBER(1*MID(S112,ROW($1:$11),1)),0),COUNT(1*MID(S112,ROW($1:$11),1))),"غير محدد")</f>
        <v>1</v>
      </c>
      <c r="V112" s="5" t="s">
        <v>93</v>
      </c>
      <c r="W112" s="35">
        <f>الشمالي!$K126/الشمالي!$P126</f>
        <v>5.26</v>
      </c>
      <c r="X112" s="24">
        <f t="shared" si="29"/>
        <v>0</v>
      </c>
      <c r="Y112" s="24">
        <f t="shared" si="30"/>
        <v>0.9</v>
      </c>
      <c r="Z112" s="24">
        <f t="shared" si="31"/>
        <v>3.2653061224489799E-2</v>
      </c>
      <c r="AA112" s="24" t="str">
        <f t="shared" ca="1" si="32"/>
        <v xml:space="preserve">29   </v>
      </c>
      <c r="AC112" s="36"/>
      <c r="AD112" s="5"/>
      <c r="AE112" s="5"/>
      <c r="AH112" s="36"/>
      <c r="AJ112" s="5"/>
    </row>
    <row r="113" spans="1:36" ht="22.15" customHeight="1" x14ac:dyDescent="0.25">
      <c r="A113" s="5" t="s">
        <v>198</v>
      </c>
      <c r="B113" s="5" t="s">
        <v>39</v>
      </c>
      <c r="C113" s="6" t="s">
        <v>27</v>
      </c>
      <c r="D113" s="10">
        <v>45925</v>
      </c>
      <c r="E113" s="53">
        <v>45944</v>
      </c>
      <c r="F113" s="45" t="str">
        <f t="shared" ref="F113" ca="1" si="40">IFERROR(DATEDIF(D113,TODAY(),"YM") &amp; "  m " &amp; DATEDIF(D113,TODAY(),"MD") &amp; "  D "," ")</f>
        <v xml:space="preserve">2  m 21  D </v>
      </c>
      <c r="G113" s="5">
        <v>13837</v>
      </c>
      <c r="H113" s="5">
        <v>145991</v>
      </c>
      <c r="I113" s="22">
        <f t="shared" ref="I113" si="41">G113/H113</f>
        <v>9.4779815194087305E-2</v>
      </c>
      <c r="J113" s="5">
        <v>301</v>
      </c>
      <c r="K113" s="5">
        <v>7177</v>
      </c>
      <c r="L113" s="5">
        <v>8</v>
      </c>
      <c r="M113" s="5">
        <v>8</v>
      </c>
      <c r="N113" s="5">
        <v>0</v>
      </c>
      <c r="O113" s="5">
        <v>1</v>
      </c>
      <c r="P113" s="5">
        <v>713</v>
      </c>
      <c r="Q113" s="5" t="s">
        <v>13</v>
      </c>
      <c r="R113" s="34" t="s">
        <v>90</v>
      </c>
      <c r="S113" s="5" t="s">
        <v>151</v>
      </c>
      <c r="T113" s="25">
        <f t="shared" ref="T113" si="42">IFERROR(IF(U113&gt;=1,EDATE(D113,U113),"غير محدد"),"غير محدد")</f>
        <v>45955</v>
      </c>
      <c r="U113" s="34" t="str" cm="1">
        <f t="array" ref="U113">IFERROR(MID(S113,MATCH(TRUE,ISNUMBER(1*MID(S113,ROW($1:$11),1)),0),COUNT(1*MID(S113,ROW($1:$11),1))),"غير محدد")</f>
        <v>1</v>
      </c>
      <c r="V113" s="5" t="s">
        <v>57</v>
      </c>
      <c r="W113" s="35" t="e">
        <f>الشمالي!$K127/الشمالي!$P127</f>
        <v>#DIV/0!</v>
      </c>
      <c r="X113" s="24">
        <f t="shared" ref="X113" si="43">N113/L113</f>
        <v>0</v>
      </c>
      <c r="Y113" s="24">
        <f t="shared" ref="Y113" si="44">L113/M113</f>
        <v>1</v>
      </c>
      <c r="Z113" s="24">
        <f t="shared" ref="Z113" si="45">O113/J113</f>
        <v>3.3222591362126247E-3</v>
      </c>
      <c r="AA113" s="24" t="str">
        <f t="shared" ref="AA113" ca="1" si="46">IFERROR(DATEDIF(T113,TODAY(),"MD") &amp; "   ","0 ")</f>
        <v xml:space="preserve">21   </v>
      </c>
      <c r="AC113" s="36"/>
      <c r="AD113" s="5"/>
      <c r="AE113" s="5"/>
      <c r="AH113" s="36"/>
      <c r="AJ113" s="5"/>
    </row>
    <row r="114" spans="1:36" ht="22.15" customHeight="1" x14ac:dyDescent="0.25">
      <c r="A114" s="5" t="s">
        <v>181</v>
      </c>
      <c r="B114" s="5" t="s">
        <v>24</v>
      </c>
      <c r="C114" s="6" t="s">
        <v>27</v>
      </c>
      <c r="D114" s="10">
        <v>45452</v>
      </c>
      <c r="F114" s="45" t="str">
        <f t="shared" ca="1" si="26"/>
        <v xml:space="preserve">6  m 7  D </v>
      </c>
      <c r="G114" s="5">
        <v>6838</v>
      </c>
      <c r="H114" s="5">
        <v>76465</v>
      </c>
      <c r="I114" s="22">
        <f t="shared" si="28"/>
        <v>8.9426535016020395E-2</v>
      </c>
      <c r="J114" s="5">
        <v>25</v>
      </c>
      <c r="K114" s="5">
        <v>3999</v>
      </c>
      <c r="L114" s="5">
        <v>5</v>
      </c>
      <c r="M114" s="5">
        <v>6</v>
      </c>
      <c r="N114" s="5">
        <v>0</v>
      </c>
      <c r="O114" s="5">
        <v>2</v>
      </c>
      <c r="P114" s="5">
        <v>323</v>
      </c>
      <c r="Q114" s="5" t="s">
        <v>21</v>
      </c>
      <c r="R114" s="34" t="s">
        <v>113</v>
      </c>
      <c r="S114" s="5" t="s">
        <v>70</v>
      </c>
      <c r="T114" s="25" t="str">
        <f t="shared" si="27"/>
        <v>غير محدد</v>
      </c>
      <c r="U114" s="34" t="str" cm="1">
        <f t="array" ref="U114">IFERROR(MID(S114,MATCH(TRUE,ISNUMBER(1*MID(S114,ROW($1:$12),1)),0),COUNT(1*MID(S114,ROW($1:$12),1))),"غير محدد")</f>
        <v>غير محدد</v>
      </c>
      <c r="V114" s="34" t="s">
        <v>93</v>
      </c>
      <c r="W114" s="35">
        <f>الشمالي!$K112/الشمالي!$P112</f>
        <v>14.484969939879759</v>
      </c>
      <c r="X114" s="24">
        <f t="shared" si="29"/>
        <v>0</v>
      </c>
      <c r="Y114" s="24">
        <f t="shared" si="30"/>
        <v>0.83333333333333337</v>
      </c>
      <c r="Z114" s="24">
        <f t="shared" si="31"/>
        <v>0.08</v>
      </c>
      <c r="AA114" s="24" t="str">
        <f t="shared" ca="1" si="32"/>
        <v xml:space="preserve">0 </v>
      </c>
      <c r="AC114" s="36"/>
      <c r="AD114" s="5"/>
      <c r="AE114" s="5"/>
      <c r="AH114" s="36"/>
      <c r="AJ114" s="5"/>
    </row>
    <row r="115" spans="1:36" ht="22.15" customHeight="1" x14ac:dyDescent="0.25">
      <c r="A115" s="27" t="s">
        <v>181</v>
      </c>
      <c r="B115" s="27" t="s">
        <v>38</v>
      </c>
      <c r="C115" s="28" t="s">
        <v>27</v>
      </c>
      <c r="D115" s="29">
        <v>45452</v>
      </c>
      <c r="E115" s="28"/>
      <c r="F115" s="46" t="str">
        <f t="shared" ca="1" si="26"/>
        <v xml:space="preserve">6  m 7  D </v>
      </c>
      <c r="G115" s="27">
        <v>5537</v>
      </c>
      <c r="H115" s="27">
        <v>69504</v>
      </c>
      <c r="I115" s="23">
        <f t="shared" si="28"/>
        <v>7.9664479742173111E-2</v>
      </c>
      <c r="J115" s="27">
        <v>13</v>
      </c>
      <c r="K115" s="27">
        <v>3491</v>
      </c>
      <c r="L115" s="27">
        <v>1</v>
      </c>
      <c r="M115" s="27">
        <v>2</v>
      </c>
      <c r="N115" s="27">
        <v>0</v>
      </c>
      <c r="O115" s="27">
        <v>2</v>
      </c>
      <c r="P115" s="27">
        <v>64</v>
      </c>
      <c r="Q115" s="27" t="s">
        <v>21</v>
      </c>
      <c r="R115" s="5" t="s">
        <v>113</v>
      </c>
      <c r="S115" s="27" t="s">
        <v>70</v>
      </c>
      <c r="T115" s="30" t="str">
        <f t="shared" si="27"/>
        <v>غير محدد</v>
      </c>
      <c r="U115" s="5" t="str" cm="1">
        <f t="array" ref="U115">IFERROR(MID(S115,MATCH(TRUE,ISNUMBER(1*MID(S115,ROW($1:$12),1)),0),COUNT(1*MID(S115,ROW($1:$12),1))),"غير محدد")</f>
        <v>غير محدد</v>
      </c>
      <c r="V115" s="34" t="s">
        <v>93</v>
      </c>
      <c r="W115" s="26">
        <f>الشمالي!$K115/الشمالي!$P115</f>
        <v>54.546875</v>
      </c>
      <c r="X115" s="22">
        <f t="shared" si="29"/>
        <v>0</v>
      </c>
      <c r="Y115" s="22">
        <f t="shared" si="30"/>
        <v>0.5</v>
      </c>
      <c r="Z115" s="22">
        <f t="shared" si="31"/>
        <v>0.15384615384615385</v>
      </c>
      <c r="AA115" s="22" t="str">
        <f t="shared" ca="1" si="32"/>
        <v xml:space="preserve">0 </v>
      </c>
      <c r="AC115" s="36"/>
      <c r="AD115" s="5"/>
      <c r="AE115" s="5"/>
      <c r="AH115" s="36"/>
      <c r="AJ115" s="5"/>
    </row>
    <row r="116" spans="1:36" ht="22.15" customHeight="1" x14ac:dyDescent="0.25">
      <c r="A116" s="27" t="s">
        <v>181</v>
      </c>
      <c r="B116" s="27" t="s">
        <v>39</v>
      </c>
      <c r="C116" s="28" t="s">
        <v>27</v>
      </c>
      <c r="D116" s="29">
        <v>45452</v>
      </c>
      <c r="E116" s="28"/>
      <c r="F116" s="46" t="str">
        <f t="shared" ca="1" si="26"/>
        <v xml:space="preserve">6  m 7  D </v>
      </c>
      <c r="G116" s="27">
        <v>21882</v>
      </c>
      <c r="H116" s="27">
        <v>63545</v>
      </c>
      <c r="I116" s="23">
        <f t="shared" si="28"/>
        <v>0.34435439452356598</v>
      </c>
      <c r="J116" s="27">
        <v>20</v>
      </c>
      <c r="K116" s="27">
        <v>1267</v>
      </c>
      <c r="L116" s="27">
        <v>2</v>
      </c>
      <c r="M116" s="27">
        <v>3</v>
      </c>
      <c r="N116" s="27">
        <v>0</v>
      </c>
      <c r="O116" s="27">
        <v>1</v>
      </c>
      <c r="P116" s="27">
        <v>102</v>
      </c>
      <c r="Q116" s="27" t="s">
        <v>21</v>
      </c>
      <c r="R116" s="5" t="s">
        <v>113</v>
      </c>
      <c r="S116" s="27" t="s">
        <v>70</v>
      </c>
      <c r="T116" s="30" t="str">
        <f t="shared" si="27"/>
        <v>غير محدد</v>
      </c>
      <c r="U116" s="5" t="str" cm="1">
        <f t="array" ref="U116">IFERROR(MID(S116,MATCH(TRUE,ISNUMBER(1*MID(S116,ROW($1:$12),1)),0),COUNT(1*MID(S116,ROW($1:$12),1))),"غير محدد")</f>
        <v>غير محدد</v>
      </c>
      <c r="V116" s="5" t="s">
        <v>93</v>
      </c>
      <c r="W116" s="26">
        <f>الشمالي!$K119/الشمالي!$P119</f>
        <v>7.1845238095238093</v>
      </c>
      <c r="X116" s="22">
        <f t="shared" si="29"/>
        <v>0</v>
      </c>
      <c r="Y116" s="22">
        <f t="shared" si="30"/>
        <v>0.66666666666666663</v>
      </c>
      <c r="Z116" s="22">
        <f t="shared" si="31"/>
        <v>0.05</v>
      </c>
      <c r="AA116" s="22" t="str">
        <f t="shared" ca="1" si="32"/>
        <v xml:space="preserve">0 </v>
      </c>
      <c r="AC116" s="36"/>
      <c r="AD116" s="5"/>
      <c r="AE116" s="5"/>
      <c r="AH116" s="36"/>
      <c r="AJ116" s="5"/>
    </row>
    <row r="117" spans="1:36" ht="22.15" customHeight="1" x14ac:dyDescent="0.25">
      <c r="A117" s="34" t="s">
        <v>149</v>
      </c>
      <c r="B117" s="34" t="s">
        <v>15</v>
      </c>
      <c r="C117" s="37" t="s">
        <v>27</v>
      </c>
      <c r="D117" s="38">
        <v>45321</v>
      </c>
      <c r="E117" s="37"/>
      <c r="F117" s="47" t="str">
        <f t="shared" ca="1" si="26"/>
        <v xml:space="preserve">10  m 16  D </v>
      </c>
      <c r="G117" s="34">
        <v>2596</v>
      </c>
      <c r="H117" s="34">
        <v>89865</v>
      </c>
      <c r="I117" s="24">
        <f t="shared" si="28"/>
        <v>2.8887776108607356E-2</v>
      </c>
      <c r="J117" s="34">
        <v>177</v>
      </c>
      <c r="K117" s="34">
        <v>3637</v>
      </c>
      <c r="L117" s="34">
        <v>3</v>
      </c>
      <c r="M117" s="34">
        <v>20</v>
      </c>
      <c r="N117" s="34">
        <v>0</v>
      </c>
      <c r="O117" s="34">
        <v>2</v>
      </c>
      <c r="P117" s="34">
        <v>315</v>
      </c>
      <c r="Q117" s="34" t="s">
        <v>10</v>
      </c>
      <c r="R117" s="5" t="s">
        <v>96</v>
      </c>
      <c r="S117" s="34" t="s">
        <v>151</v>
      </c>
      <c r="T117" s="39">
        <f t="shared" si="27"/>
        <v>45351</v>
      </c>
      <c r="U117" s="5" t="str" cm="1">
        <f t="array" ref="U117">IFERROR(MID(S117,MATCH(TRUE,ISNUMBER(1*MID(S117,ROW($1:$12),1)),0),COUNT(1*MID(S117,ROW($1:$12),1))),"غير محدد")</f>
        <v>1</v>
      </c>
      <c r="V117" s="5" t="s">
        <v>57</v>
      </c>
      <c r="W117" s="26">
        <f>الشمالي!$K103/الشمالي!$P103</f>
        <v>13.110294117647058</v>
      </c>
      <c r="X117" s="22">
        <f t="shared" si="29"/>
        <v>0</v>
      </c>
      <c r="Y117" s="22">
        <f t="shared" si="30"/>
        <v>0.15</v>
      </c>
      <c r="Z117" s="22">
        <f t="shared" si="31"/>
        <v>1.1299435028248588E-2</v>
      </c>
      <c r="AA117" s="22" t="str">
        <f t="shared" ca="1" si="32"/>
        <v xml:space="preserve">17   </v>
      </c>
      <c r="AC117" s="36"/>
      <c r="AD117" s="5"/>
      <c r="AE117" s="5"/>
      <c r="AH117" s="36"/>
      <c r="AJ117" s="5"/>
    </row>
    <row r="118" spans="1:36" ht="22.15" customHeight="1" x14ac:dyDescent="0.25">
      <c r="A118" s="34" t="s">
        <v>149</v>
      </c>
      <c r="B118" s="34" t="s">
        <v>24</v>
      </c>
      <c r="C118" s="37" t="s">
        <v>27</v>
      </c>
      <c r="D118" s="38">
        <v>45321</v>
      </c>
      <c r="E118" s="37"/>
      <c r="F118" s="47" t="str">
        <f t="shared" ca="1" si="26"/>
        <v xml:space="preserve">10  m 16  D </v>
      </c>
      <c r="G118" s="34">
        <v>9009</v>
      </c>
      <c r="H118" s="34">
        <v>96695</v>
      </c>
      <c r="I118" s="24">
        <f t="shared" si="28"/>
        <v>9.3169243497595533E-2</v>
      </c>
      <c r="J118" s="34">
        <v>33</v>
      </c>
      <c r="K118" s="34">
        <v>7817</v>
      </c>
      <c r="L118" s="34">
        <v>3</v>
      </c>
      <c r="M118" s="34">
        <v>6</v>
      </c>
      <c r="N118" s="34">
        <v>0</v>
      </c>
      <c r="O118" s="34">
        <v>1</v>
      </c>
      <c r="P118" s="34">
        <v>350</v>
      </c>
      <c r="Q118" s="34" t="s">
        <v>13</v>
      </c>
      <c r="R118" s="5" t="s">
        <v>90</v>
      </c>
      <c r="S118" s="34" t="s">
        <v>150</v>
      </c>
      <c r="T118" s="39">
        <f t="shared" si="27"/>
        <v>45503</v>
      </c>
      <c r="U118" s="5" t="str" cm="1">
        <f t="array" ref="U118">IFERROR(MID(S118,MATCH(TRUE,ISNUMBER(1*MID(S118,ROW($1:$12),1)),0),COUNT(1*MID(S118,ROW($1:$12),1))),"غير محدد")</f>
        <v>6</v>
      </c>
      <c r="V118" s="5" t="s">
        <v>93</v>
      </c>
      <c r="W118" s="26">
        <f>الشمالي!$K104/الشمالي!$P104</f>
        <v>13.158163265306122</v>
      </c>
      <c r="X118" s="22">
        <f t="shared" si="29"/>
        <v>0</v>
      </c>
      <c r="Y118" s="22">
        <f t="shared" si="30"/>
        <v>0.5</v>
      </c>
      <c r="Z118" s="22">
        <f t="shared" si="31"/>
        <v>3.0303030303030304E-2</v>
      </c>
      <c r="AA118" s="22" t="str">
        <f t="shared" ca="1" si="32"/>
        <v xml:space="preserve">16   </v>
      </c>
      <c r="AC118" s="36"/>
      <c r="AD118" s="5"/>
      <c r="AE118" s="5"/>
      <c r="AH118" s="36"/>
      <c r="AJ118" s="5"/>
    </row>
    <row r="119" spans="1:36" ht="22.15" customHeight="1" x14ac:dyDescent="0.25">
      <c r="A119" s="34" t="s">
        <v>149</v>
      </c>
      <c r="B119" s="34" t="s">
        <v>24</v>
      </c>
      <c r="C119" s="37" t="s">
        <v>27</v>
      </c>
      <c r="D119" s="38">
        <v>45575</v>
      </c>
      <c r="E119" s="37"/>
      <c r="F119" s="47" t="str">
        <f t="shared" ca="1" si="26"/>
        <v xml:space="preserve">2  m 6  D </v>
      </c>
      <c r="G119" s="34">
        <v>2170</v>
      </c>
      <c r="H119" s="34">
        <v>120947</v>
      </c>
      <c r="I119" s="24">
        <f t="shared" si="28"/>
        <v>1.7941743077546365E-2</v>
      </c>
      <c r="J119" s="34">
        <v>563</v>
      </c>
      <c r="K119" s="34">
        <v>2414</v>
      </c>
      <c r="L119" s="34">
        <v>4</v>
      </c>
      <c r="M119" s="34">
        <v>20</v>
      </c>
      <c r="N119" s="34">
        <v>0</v>
      </c>
      <c r="O119" s="34">
        <v>9</v>
      </c>
      <c r="P119" s="34">
        <v>336</v>
      </c>
      <c r="Q119" s="34" t="s">
        <v>25</v>
      </c>
      <c r="R119" s="5" t="s">
        <v>90</v>
      </c>
      <c r="S119" s="34" t="s">
        <v>151</v>
      </c>
      <c r="T119" s="39">
        <f t="shared" si="27"/>
        <v>45606</v>
      </c>
      <c r="U119" s="5" t="str" cm="1">
        <f t="array" ref="U119">IFERROR(MID(S119,MATCH(TRUE,ISNUMBER(1*MID(S119,ROW($1:$12),1)),0),COUNT(1*MID(S119,ROW($1:$12),1))),"غير محدد")</f>
        <v>1</v>
      </c>
      <c r="V119" s="5" t="s">
        <v>93</v>
      </c>
      <c r="W119" s="26">
        <f>الشمالي!$K106/الشمالي!$P106</f>
        <v>0.61757719714964365</v>
      </c>
      <c r="X119" s="22">
        <f t="shared" si="29"/>
        <v>0</v>
      </c>
      <c r="Y119" s="22">
        <f t="shared" si="30"/>
        <v>0.2</v>
      </c>
      <c r="Z119" s="22">
        <f t="shared" si="31"/>
        <v>1.5985790408525755E-2</v>
      </c>
      <c r="AA119" s="22" t="str">
        <f t="shared" ca="1" si="32"/>
        <v xml:space="preserve">6   </v>
      </c>
      <c r="AC119" s="36"/>
      <c r="AD119" s="5"/>
      <c r="AE119" s="5"/>
      <c r="AH119" s="36"/>
      <c r="AJ119" s="5"/>
    </row>
    <row r="120" spans="1:36" ht="22.15" customHeight="1" x14ac:dyDescent="0.25">
      <c r="A120" s="5" t="s">
        <v>149</v>
      </c>
      <c r="B120" s="5" t="s">
        <v>24</v>
      </c>
      <c r="C120" s="6" t="s">
        <v>27</v>
      </c>
      <c r="D120" s="10">
        <v>45760</v>
      </c>
      <c r="F120" s="45" t="str">
        <f t="shared" ca="1" si="26"/>
        <v xml:space="preserve">8  m 3  D </v>
      </c>
      <c r="G120" s="5">
        <v>13556</v>
      </c>
      <c r="H120" s="5">
        <v>63897</v>
      </c>
      <c r="I120" s="22">
        <f t="shared" si="28"/>
        <v>0.21215393523952611</v>
      </c>
      <c r="J120" s="5">
        <v>180</v>
      </c>
      <c r="K120" s="5">
        <v>2972</v>
      </c>
      <c r="L120" s="5">
        <v>5</v>
      </c>
      <c r="M120" s="5">
        <v>4</v>
      </c>
      <c r="N120" s="5">
        <v>0</v>
      </c>
      <c r="O120" s="5">
        <v>2</v>
      </c>
      <c r="P120" s="5">
        <v>247</v>
      </c>
      <c r="Q120" s="5" t="s">
        <v>13</v>
      </c>
      <c r="R120" s="5" t="s">
        <v>90</v>
      </c>
      <c r="S120" s="5" t="s">
        <v>151</v>
      </c>
      <c r="T120" s="25">
        <f t="shared" si="27"/>
        <v>45790</v>
      </c>
      <c r="U120" s="5" t="str" cm="1">
        <f t="array" ref="U120">IFERROR(MID(S120,MATCH(TRUE,ISNUMBER(1*MID(S120,ROW($1:$12),1)),0),COUNT(1*MID(S120,ROW($1:$12),1))),"غير محدد")</f>
        <v>1</v>
      </c>
      <c r="V120" s="5" t="s">
        <v>93</v>
      </c>
      <c r="W120" s="26">
        <f>الشمالي!$K111/الشمالي!$P111</f>
        <v>14.122362869198312</v>
      </c>
      <c r="X120" s="22">
        <f t="shared" si="29"/>
        <v>0</v>
      </c>
      <c r="Y120" s="22">
        <f t="shared" si="30"/>
        <v>1.25</v>
      </c>
      <c r="Z120" s="22">
        <f t="shared" si="31"/>
        <v>1.1111111111111112E-2</v>
      </c>
      <c r="AA120" s="22" t="str">
        <f t="shared" ca="1" si="32"/>
        <v xml:space="preserve">3   </v>
      </c>
      <c r="AB120" s="5"/>
      <c r="AC120" s="36"/>
      <c r="AE120" s="5"/>
      <c r="AI120" s="36"/>
      <c r="AJ120" s="5"/>
    </row>
    <row r="121" spans="1:36" ht="22.15" customHeight="1" x14ac:dyDescent="0.25">
      <c r="A121" s="5" t="s">
        <v>149</v>
      </c>
      <c r="B121" s="5" t="s">
        <v>24</v>
      </c>
      <c r="C121" s="6" t="s">
        <v>27</v>
      </c>
      <c r="D121" s="10">
        <v>45825</v>
      </c>
      <c r="F121" s="45" t="str">
        <f t="shared" ca="1" si="26"/>
        <v xml:space="preserve">5  m 29  D </v>
      </c>
      <c r="G121" s="5">
        <v>5909</v>
      </c>
      <c r="H121" s="5">
        <v>78837</v>
      </c>
      <c r="I121" s="22">
        <f t="shared" si="28"/>
        <v>7.495211639204942E-2</v>
      </c>
      <c r="J121" s="5">
        <v>634</v>
      </c>
      <c r="K121" s="5">
        <v>3767</v>
      </c>
      <c r="L121" s="5">
        <v>14</v>
      </c>
      <c r="M121" s="5">
        <v>6</v>
      </c>
      <c r="N121" s="5">
        <v>0</v>
      </c>
      <c r="O121" s="5">
        <v>5</v>
      </c>
      <c r="P121" s="5">
        <v>491</v>
      </c>
      <c r="Q121" s="5" t="s">
        <v>13</v>
      </c>
      <c r="R121" s="5" t="s">
        <v>90</v>
      </c>
      <c r="S121" s="5" t="s">
        <v>151</v>
      </c>
      <c r="T121" s="25">
        <f t="shared" si="27"/>
        <v>45855</v>
      </c>
      <c r="U121" s="5" t="str" cm="1">
        <f t="array" ref="U121">IFERROR(MID(S121,MATCH(TRUE,ISNUMBER(1*MID(S121,ROW($1:$12),1)),0),COUNT(1*MID(S121,ROW($1:$12),1))),"غير محدد")</f>
        <v>1</v>
      </c>
      <c r="V121" s="5" t="s">
        <v>57</v>
      </c>
      <c r="W121" s="26">
        <f>الشمالي!$K109/الشمالي!$P109</f>
        <v>16.652173913043477</v>
      </c>
      <c r="X121" s="22">
        <f t="shared" si="29"/>
        <v>0</v>
      </c>
      <c r="Y121" s="22">
        <f t="shared" si="30"/>
        <v>2.3333333333333335</v>
      </c>
      <c r="Z121" s="22">
        <f t="shared" si="31"/>
        <v>7.8864353312302835E-3</v>
      </c>
      <c r="AA121" s="22" t="str">
        <f t="shared" ca="1" si="32"/>
        <v xml:space="preserve">29   </v>
      </c>
      <c r="AB121" s="5"/>
      <c r="AC121" s="36"/>
      <c r="AE121" s="5"/>
      <c r="AI121" s="36"/>
      <c r="AJ121" s="5"/>
    </row>
    <row r="122" spans="1:36" ht="22.15" customHeight="1" x14ac:dyDescent="0.25">
      <c r="A122" s="5" t="s">
        <v>149</v>
      </c>
      <c r="B122" s="5" t="s">
        <v>38</v>
      </c>
      <c r="C122" s="6" t="s">
        <v>27</v>
      </c>
      <c r="D122" s="10">
        <v>45321</v>
      </c>
      <c r="F122" s="45" t="str">
        <f t="shared" ca="1" si="26"/>
        <v xml:space="preserve">10  m 16  D </v>
      </c>
      <c r="G122" s="5">
        <v>5062</v>
      </c>
      <c r="H122" s="5">
        <v>114509</v>
      </c>
      <c r="I122" s="22">
        <f t="shared" si="28"/>
        <v>4.4206132269079289E-2</v>
      </c>
      <c r="J122" s="5">
        <v>181</v>
      </c>
      <c r="K122" s="5">
        <v>4120</v>
      </c>
      <c r="L122" s="5">
        <v>3</v>
      </c>
      <c r="M122" s="5">
        <v>15</v>
      </c>
      <c r="N122" s="5">
        <v>0</v>
      </c>
      <c r="O122" s="5">
        <v>2</v>
      </c>
      <c r="P122" s="5">
        <v>429</v>
      </c>
      <c r="Q122" s="5" t="s">
        <v>10</v>
      </c>
      <c r="R122" s="5" t="s">
        <v>96</v>
      </c>
      <c r="S122" s="5" t="s">
        <v>151</v>
      </c>
      <c r="T122" s="25">
        <f t="shared" si="27"/>
        <v>45351</v>
      </c>
      <c r="U122" s="5" t="str" cm="1">
        <f t="array" ref="U122">IFERROR(MID(S122,MATCH(TRUE,ISNUMBER(1*MID(S122,ROW($1:$12),1)),0),COUNT(1*MID(S122,ROW($1:$12),1))),"غير محدد")</f>
        <v>1</v>
      </c>
      <c r="V122" s="5" t="s">
        <v>93</v>
      </c>
      <c r="W122" s="26">
        <f>الشمالي!$K106/الشمالي!$P106</f>
        <v>0.61757719714964365</v>
      </c>
      <c r="X122" s="22">
        <f t="shared" si="29"/>
        <v>0</v>
      </c>
      <c r="Y122" s="22">
        <f t="shared" si="30"/>
        <v>0.2</v>
      </c>
      <c r="Z122" s="22">
        <f t="shared" si="31"/>
        <v>1.1049723756906077E-2</v>
      </c>
      <c r="AA122" s="22" t="str">
        <f t="shared" ca="1" si="32"/>
        <v xml:space="preserve">17   </v>
      </c>
      <c r="AB122" s="5"/>
      <c r="AC122" s="36"/>
      <c r="AE122" s="5"/>
      <c r="AI122" s="36"/>
      <c r="AJ122" s="5"/>
    </row>
    <row r="123" spans="1:36" ht="22.15" customHeight="1" x14ac:dyDescent="0.25">
      <c r="A123" s="5" t="s">
        <v>149</v>
      </c>
      <c r="B123" s="5" t="s">
        <v>38</v>
      </c>
      <c r="C123" s="6" t="s">
        <v>27</v>
      </c>
      <c r="D123" s="10">
        <v>45405</v>
      </c>
      <c r="F123" s="45" t="str">
        <f t="shared" ca="1" si="26"/>
        <v xml:space="preserve">7  m 23  D </v>
      </c>
      <c r="G123" s="5">
        <v>5612</v>
      </c>
      <c r="H123" s="5">
        <v>76564</v>
      </c>
      <c r="I123" s="22">
        <f t="shared" si="28"/>
        <v>7.3298155791233471E-2</v>
      </c>
      <c r="J123" s="5">
        <v>197</v>
      </c>
      <c r="K123" s="5">
        <v>3246</v>
      </c>
      <c r="L123" s="5">
        <v>2</v>
      </c>
      <c r="M123" s="5">
        <v>17</v>
      </c>
      <c r="N123" s="5">
        <v>0</v>
      </c>
      <c r="O123" s="5">
        <v>4</v>
      </c>
      <c r="P123" s="5">
        <v>302</v>
      </c>
      <c r="Q123" s="5" t="s">
        <v>25</v>
      </c>
      <c r="R123" s="5" t="s">
        <v>90</v>
      </c>
      <c r="S123" s="5" t="s">
        <v>165</v>
      </c>
      <c r="T123" s="25">
        <f t="shared" si="27"/>
        <v>45435</v>
      </c>
      <c r="U123" s="5" t="str" cm="1">
        <f t="array" ref="U123">IFERROR(MID(S123,MATCH(TRUE,ISNUMBER(1*MID(S123,ROW($1:$12),1)),0),COUNT(1*MID(S123,ROW($1:$12),1))),"غير محدد")</f>
        <v>1</v>
      </c>
      <c r="V123" s="5" t="s">
        <v>93</v>
      </c>
      <c r="W123" s="26">
        <f>الشمالي!$K106/الشمالي!$P106</f>
        <v>0.61757719714964365</v>
      </c>
      <c r="X123" s="22">
        <f t="shared" si="29"/>
        <v>0</v>
      </c>
      <c r="Y123" s="22">
        <f t="shared" si="30"/>
        <v>0.11764705882352941</v>
      </c>
      <c r="Z123" s="22">
        <f t="shared" si="31"/>
        <v>2.030456852791878E-2</v>
      </c>
      <c r="AA123" s="22" t="str">
        <f t="shared" ca="1" si="32"/>
        <v xml:space="preserve">23   </v>
      </c>
      <c r="AB123" s="5"/>
      <c r="AC123" s="36"/>
      <c r="AE123" s="5"/>
      <c r="AI123" s="36"/>
      <c r="AJ123" s="5"/>
    </row>
    <row r="124" spans="1:36" ht="22.15" customHeight="1" x14ac:dyDescent="0.25">
      <c r="A124" s="5" t="s">
        <v>149</v>
      </c>
      <c r="B124" s="5" t="s">
        <v>38</v>
      </c>
      <c r="C124" s="6" t="s">
        <v>27</v>
      </c>
      <c r="D124" s="10">
        <v>45575</v>
      </c>
      <c r="F124" s="45" t="str">
        <f t="shared" ca="1" si="26"/>
        <v xml:space="preserve">2  m 6  D </v>
      </c>
      <c r="G124" s="5">
        <v>3598</v>
      </c>
      <c r="H124" s="5">
        <v>107705</v>
      </c>
      <c r="I124" s="22">
        <f t="shared" si="28"/>
        <v>3.3406062856877583E-2</v>
      </c>
      <c r="J124" s="5">
        <v>309</v>
      </c>
      <c r="K124" s="5">
        <v>4307</v>
      </c>
      <c r="L124" s="5">
        <v>1</v>
      </c>
      <c r="M124" s="5">
        <v>7</v>
      </c>
      <c r="N124" s="5">
        <v>0</v>
      </c>
      <c r="O124" s="5">
        <v>2</v>
      </c>
      <c r="P124" s="5">
        <v>403</v>
      </c>
      <c r="Q124" s="5" t="s">
        <v>25</v>
      </c>
      <c r="R124" s="5" t="s">
        <v>90</v>
      </c>
      <c r="S124" s="5" t="s">
        <v>151</v>
      </c>
      <c r="T124" s="25">
        <f t="shared" si="27"/>
        <v>45606</v>
      </c>
      <c r="U124" s="5" t="str" cm="1">
        <f t="array" ref="U124">IFERROR(MID(S124,MATCH(TRUE,ISNUMBER(1*MID(S124,ROW($1:$12),1)),0),COUNT(1*MID(S124,ROW($1:$12),1))),"غير محدد")</f>
        <v>1</v>
      </c>
      <c r="V124" s="5" t="s">
        <v>93</v>
      </c>
      <c r="W124" s="26">
        <f>الشمالي!$K109/الشمالي!$P109</f>
        <v>16.652173913043477</v>
      </c>
      <c r="X124" s="22">
        <f t="shared" si="29"/>
        <v>0</v>
      </c>
      <c r="Y124" s="22">
        <f t="shared" si="30"/>
        <v>0.14285714285714285</v>
      </c>
      <c r="Z124" s="22">
        <f t="shared" si="31"/>
        <v>6.4724919093851136E-3</v>
      </c>
      <c r="AA124" s="22" t="str">
        <f t="shared" ca="1" si="32"/>
        <v xml:space="preserve">6   </v>
      </c>
      <c r="AB124" s="5"/>
      <c r="AC124" s="36"/>
      <c r="AE124" s="5"/>
      <c r="AI124" s="36"/>
      <c r="AJ124" s="5"/>
    </row>
    <row r="125" spans="1:36" ht="22.15" customHeight="1" x14ac:dyDescent="0.25">
      <c r="A125" s="5" t="s">
        <v>149</v>
      </c>
      <c r="B125" s="5" t="s">
        <v>38</v>
      </c>
      <c r="C125" s="6" t="s">
        <v>27</v>
      </c>
      <c r="D125" s="10">
        <v>45825</v>
      </c>
      <c r="F125" s="45" t="str">
        <f t="shared" ca="1" si="26"/>
        <v xml:space="preserve">5  m 29  D </v>
      </c>
      <c r="G125" s="5">
        <v>8665</v>
      </c>
      <c r="H125" s="5">
        <v>79162</v>
      </c>
      <c r="I125" s="22">
        <f t="shared" si="28"/>
        <v>0.10945908390389328</v>
      </c>
      <c r="J125" s="5">
        <v>351</v>
      </c>
      <c r="K125" s="5">
        <v>5582</v>
      </c>
      <c r="L125" s="5">
        <v>10</v>
      </c>
      <c r="M125" s="5">
        <v>16</v>
      </c>
      <c r="N125" s="5">
        <v>0</v>
      </c>
      <c r="O125" s="5">
        <v>6</v>
      </c>
      <c r="P125" s="5">
        <v>420</v>
      </c>
      <c r="Q125" s="5" t="s">
        <v>13</v>
      </c>
      <c r="R125" s="5" t="s">
        <v>90</v>
      </c>
      <c r="S125" s="5" t="s">
        <v>151</v>
      </c>
      <c r="T125" s="25">
        <f t="shared" si="27"/>
        <v>45855</v>
      </c>
      <c r="U125" s="5" t="str" cm="1">
        <f t="array" ref="U125">IFERROR(MID(S125,MATCH(TRUE,ISNUMBER(1*MID(S125,ROW($1:$12),1)),0),COUNT(1*MID(S125,ROW($1:$12),1))),"غير محدد")</f>
        <v>1</v>
      </c>
      <c r="V125" s="5" t="s">
        <v>57</v>
      </c>
      <c r="W125" s="26">
        <f>الشمالي!$K111/الشمالي!$P111</f>
        <v>14.122362869198312</v>
      </c>
      <c r="X125" s="22">
        <f t="shared" si="29"/>
        <v>0</v>
      </c>
      <c r="Y125" s="22">
        <f t="shared" si="30"/>
        <v>0.625</v>
      </c>
      <c r="Z125" s="22">
        <f t="shared" si="31"/>
        <v>1.7094017094017096E-2</v>
      </c>
      <c r="AA125" s="22" t="str">
        <f t="shared" ca="1" si="32"/>
        <v xml:space="preserve">29   </v>
      </c>
      <c r="AB125" s="5"/>
      <c r="AC125" s="36"/>
      <c r="AE125" s="5"/>
      <c r="AI125" s="36"/>
      <c r="AJ125" s="5"/>
    </row>
    <row r="126" spans="1:36" ht="22.15" customHeight="1" x14ac:dyDescent="0.25">
      <c r="A126" s="5" t="s">
        <v>197</v>
      </c>
      <c r="B126" s="5" t="s">
        <v>15</v>
      </c>
      <c r="C126" s="6" t="s">
        <v>27</v>
      </c>
      <c r="D126" s="10">
        <v>45760</v>
      </c>
      <c r="F126" s="45" t="str">
        <f t="shared" ca="1" si="26"/>
        <v xml:space="preserve">8  m 3  D </v>
      </c>
      <c r="G126" s="5">
        <v>12294</v>
      </c>
      <c r="H126" s="5">
        <v>51742</v>
      </c>
      <c r="I126" s="22">
        <f t="shared" si="28"/>
        <v>0.23760194812724672</v>
      </c>
      <c r="J126" s="5">
        <v>30</v>
      </c>
      <c r="K126" s="5">
        <v>3419</v>
      </c>
      <c r="L126" s="5">
        <v>30</v>
      </c>
      <c r="M126" s="5">
        <v>5</v>
      </c>
      <c r="N126" s="5">
        <v>0</v>
      </c>
      <c r="O126" s="5">
        <v>3</v>
      </c>
      <c r="P126" s="5">
        <v>650</v>
      </c>
      <c r="Q126" s="5" t="s">
        <v>13</v>
      </c>
      <c r="R126" s="5" t="s">
        <v>90</v>
      </c>
      <c r="S126" s="5" t="s">
        <v>153</v>
      </c>
      <c r="T126" s="25">
        <f t="shared" si="27"/>
        <v>45851</v>
      </c>
      <c r="U126" s="5" t="str" cm="1">
        <f t="array" ref="U126">IFERROR(MID(S126,MATCH(TRUE,ISNUMBER(1*MID(S126,ROW($1:$11),1)),0),COUNT(1*MID(S126,ROW($1:$11),1))),"غير محدد")</f>
        <v>3</v>
      </c>
      <c r="V126" s="5" t="s">
        <v>57</v>
      </c>
      <c r="W126" s="26">
        <f>الشمالي!$K120/الشمالي!$P120</f>
        <v>12.032388663967611</v>
      </c>
      <c r="X126" s="22">
        <f t="shared" si="29"/>
        <v>0</v>
      </c>
      <c r="Y126" s="22">
        <f t="shared" si="30"/>
        <v>6</v>
      </c>
      <c r="Z126" s="22">
        <f t="shared" si="31"/>
        <v>0.1</v>
      </c>
      <c r="AA126" s="22" t="str">
        <f t="shared" ca="1" si="32"/>
        <v xml:space="preserve">3   </v>
      </c>
      <c r="AB126" s="5"/>
      <c r="AC126" s="36"/>
      <c r="AE126" s="5"/>
      <c r="AI126" s="36"/>
      <c r="AJ126" s="5"/>
    </row>
  </sheetData>
  <phoneticPr fontId="3" type="noConversion"/>
  <conditionalFormatting sqref="I2:I126">
    <cfRule type="cellIs" dxfId="58" priority="13" operator="lessThan">
      <formula>0.2</formula>
    </cfRule>
    <cfRule type="cellIs" dxfId="57" priority="27" operator="greaterThanOrEqual">
      <formula>0.2</formula>
    </cfRule>
  </conditionalFormatting>
  <conditionalFormatting sqref="J2:J126">
    <cfRule type="expression" dxfId="56" priority="55">
      <formula>IF($I2&lt;0.2,$J2&gt;80)</formula>
    </cfRule>
    <cfRule type="expression" dxfId="55" priority="56">
      <formula>IF($I2&gt;=0.2,$J2&gt;40)</formula>
    </cfRule>
  </conditionalFormatting>
  <conditionalFormatting sqref="K2:K126">
    <cfRule type="expression" dxfId="54" priority="57">
      <formula>IF($I2&gt;=0.2,$K2&gt;5000)</formula>
    </cfRule>
    <cfRule type="expression" dxfId="53" priority="58">
      <formula>IF($I2&lt;0.2,$K2&gt;9000)</formula>
    </cfRule>
  </conditionalFormatting>
  <conditionalFormatting sqref="L2:L126">
    <cfRule type="expression" dxfId="52" priority="59">
      <formula>IF($I2&gt;=0.2,$L2&gt;50)</formula>
    </cfRule>
    <cfRule type="expression" dxfId="51" priority="60">
      <formula>IF($I2&lt;0.2,$L2&gt;50)</formula>
    </cfRule>
  </conditionalFormatting>
  <conditionalFormatting sqref="M2:M126">
    <cfRule type="expression" dxfId="50" priority="61">
      <formula>IF($I2&gt;=0.2,$M2&gt;15)</formula>
    </cfRule>
    <cfRule type="expression" dxfId="49" priority="62">
      <formula>IF($I2&lt;0.2,$M2&gt;90)</formula>
    </cfRule>
  </conditionalFormatting>
  <conditionalFormatting sqref="N2:N126">
    <cfRule type="cellIs" dxfId="48" priority="14" operator="greaterThanOrEqual">
      <formula>1</formula>
    </cfRule>
  </conditionalFormatting>
  <conditionalFormatting sqref="O2:O126">
    <cfRule type="expression" dxfId="47" priority="63">
      <formula>IF($I2&gt;=0.2,$O2&gt;20)</formula>
    </cfRule>
    <cfRule type="expression" dxfId="46" priority="64">
      <formula>IF($I2&lt;0.2,$O2&gt;90)</formula>
    </cfRule>
  </conditionalFormatting>
  <conditionalFormatting sqref="P3:R119">
    <cfRule type="expression" dxfId="45" priority="65">
      <formula>IF($I3&gt;=0.2,$P3&gt;500)</formula>
    </cfRule>
    <cfRule type="expression" dxfId="44" priority="66">
      <formula>IF($I3&lt;0.2,$P3&gt;900)</formula>
    </cfRule>
  </conditionalFormatting>
  <conditionalFormatting sqref="Q2:R126 V2:Z126">
    <cfRule type="containsText" dxfId="43" priority="2" operator="containsText" text="يحتاج الى إعادة">
      <formula>NOT(ISERROR(SEARCH("يحتاج الى إعادة",Q2)))</formula>
    </cfRule>
  </conditionalFormatting>
  <conditionalFormatting sqref="S2:S126 U2:U126">
    <cfRule type="containsText" dxfId="42" priority="11" operator="containsText" text="F">
      <formula>NOT(ISERROR(SEARCH("F",S2)))</formula>
    </cfRule>
    <cfRule type="containsText" dxfId="41" priority="12" operator="containsText" text="R">
      <formula>NOT(ISERROR(SEARCH("R",S2)))</formula>
    </cfRule>
  </conditionalFormatting>
  <conditionalFormatting sqref="T2:T126">
    <cfRule type="expression" dxfId="40" priority="8">
      <formula>$AA2&gt;="1"</formula>
    </cfRule>
  </conditionalFormatting>
  <conditionalFormatting sqref="V126">
    <cfRule type="containsText" dxfId="39" priority="1" operator="containsText" text="يحتاج الى إعادة">
      <formula>NOT(ISERROR(SEARCH("يحتاج الى إعادة",V126)))</formula>
    </cfRule>
  </conditionalFormatting>
  <pageMargins left="0.23622047244094491" right="0.23622047244094491" top="0.74803149606299213" bottom="1.3385826771653544" header="0.31496062992125984" footer="0.31496062992125984"/>
  <pageSetup paperSize="9" scale="63" fitToHeight="0" orientation="landscape" r:id="rId1"/>
  <headerFooter>
    <oddFooter>&amp;C&amp;G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2">
    <pageSetUpPr fitToPage="1"/>
  </sheetPr>
  <dimension ref="A1:AT144"/>
  <sheetViews>
    <sheetView rightToLeft="1" view="pageBreakPreview" zoomScale="94" zoomScaleNormal="70" zoomScaleSheetLayoutView="94" workbookViewId="0">
      <pane xSplit="33" ySplit="1" topLeftCell="AH5" activePane="bottomRight" state="frozen"/>
      <selection activeCell="A5" sqref="A5"/>
      <selection pane="topRight" activeCell="AA5" sqref="AA5"/>
      <selection pane="bottomLeft" activeCell="A6" sqref="A6"/>
      <selection pane="bottomRight" activeCell="D12" sqref="D12"/>
    </sheetView>
  </sheetViews>
  <sheetFormatPr defaultColWidth="9" defaultRowHeight="24.6" customHeight="1" x14ac:dyDescent="0.2"/>
  <cols>
    <col min="1" max="1" width="13.5" style="5" bestFit="1" customWidth="1"/>
    <col min="2" max="2" width="9.875" style="5" customWidth="1"/>
    <col min="3" max="3" width="9.5" style="6" customWidth="1"/>
    <col min="4" max="4" width="12.875" style="7" customWidth="1"/>
    <col min="5" max="5" width="13.5" style="8" customWidth="1"/>
    <col min="6" max="7" width="10.625" style="8" bestFit="1" customWidth="1"/>
    <col min="8" max="8" width="7.5" style="8" customWidth="1"/>
    <col min="9" max="9" width="6.875" style="8" customWidth="1"/>
    <col min="10" max="10" width="7.5" style="8" customWidth="1"/>
    <col min="11" max="11" width="6.125" style="8" bestFit="1" customWidth="1"/>
    <col min="12" max="13" width="8.875" style="8" customWidth="1"/>
    <col min="14" max="14" width="7" style="8" customWidth="1"/>
    <col min="15" max="15" width="7.25" style="8" customWidth="1"/>
    <col min="16" max="16" width="14.625" style="8" customWidth="1"/>
    <col min="18" max="18" width="18.375" customWidth="1"/>
    <col min="19" max="19" width="23.25" bestFit="1" customWidth="1"/>
    <col min="20" max="20" width="21.625" hidden="1" customWidth="1"/>
    <col min="21" max="21" width="14.375" customWidth="1"/>
    <col min="22" max="22" width="15" hidden="1" customWidth="1"/>
    <col min="23" max="24" width="0" hidden="1" customWidth="1"/>
    <col min="25" max="26" width="15" style="8" hidden="1" customWidth="1"/>
    <col min="28" max="28" width="14.25" customWidth="1"/>
    <col min="29" max="29" width="9.125" style="8" customWidth="1"/>
    <col min="30" max="30" width="9.875" style="8" customWidth="1"/>
    <col min="31" max="31" width="9" style="8" customWidth="1"/>
    <col min="32" max="32" width="8.875" style="8" customWidth="1"/>
    <col min="33" max="33" width="31.875" style="8" customWidth="1"/>
    <col min="34" max="34" width="23" style="1" customWidth="1"/>
    <col min="35" max="16384" width="9" style="1"/>
  </cols>
  <sheetData>
    <row r="1" spans="1:33" ht="24.6" customHeight="1" x14ac:dyDescent="0.2">
      <c r="A1" s="5" t="s">
        <v>44</v>
      </c>
      <c r="B1" s="5" t="s">
        <v>45</v>
      </c>
      <c r="C1" s="6" t="s">
        <v>84</v>
      </c>
      <c r="D1" s="7" t="s">
        <v>46</v>
      </c>
      <c r="E1" s="8" t="s">
        <v>83</v>
      </c>
      <c r="F1" s="8" t="s">
        <v>2</v>
      </c>
      <c r="G1" s="8" t="s">
        <v>3</v>
      </c>
      <c r="H1" s="8" t="s">
        <v>82</v>
      </c>
      <c r="I1" s="8" t="s">
        <v>1</v>
      </c>
      <c r="J1" s="8" t="s">
        <v>4</v>
      </c>
      <c r="K1" s="8" t="s">
        <v>5</v>
      </c>
      <c r="L1" s="8" t="s">
        <v>6</v>
      </c>
      <c r="M1" s="9" t="s">
        <v>7</v>
      </c>
      <c r="N1" s="8" t="s">
        <v>8</v>
      </c>
      <c r="O1" s="8" t="s">
        <v>9</v>
      </c>
      <c r="P1" s="8" t="s">
        <v>118</v>
      </c>
      <c r="Q1" s="8" t="s">
        <v>119</v>
      </c>
      <c r="R1" s="8" t="s">
        <v>120</v>
      </c>
      <c r="S1" s="8" t="s">
        <v>179</v>
      </c>
      <c r="T1" s="8" t="s">
        <v>177</v>
      </c>
      <c r="U1" s="8" t="s">
        <v>89</v>
      </c>
      <c r="V1" s="8" t="s">
        <v>88</v>
      </c>
      <c r="W1" s="8" t="s">
        <v>87</v>
      </c>
      <c r="X1" s="8" t="s">
        <v>85</v>
      </c>
      <c r="Y1" s="8" t="s">
        <v>86</v>
      </c>
      <c r="Z1" s="1" t="s">
        <v>178</v>
      </c>
      <c r="AA1" s="1"/>
      <c r="AB1" s="1"/>
      <c r="AC1" s="1"/>
      <c r="AD1" s="1"/>
      <c r="AE1" s="1"/>
      <c r="AF1" s="1"/>
      <c r="AG1" s="1"/>
    </row>
    <row r="2" spans="1:33" s="14" customFormat="1" ht="24.6" customHeight="1" x14ac:dyDescent="0.2">
      <c r="A2" s="5" t="s">
        <v>167</v>
      </c>
      <c r="B2" s="5" t="s">
        <v>15</v>
      </c>
      <c r="C2" s="6" t="s">
        <v>168</v>
      </c>
      <c r="D2" s="10">
        <v>45372</v>
      </c>
      <c r="E2" s="8" t="str">
        <f t="shared" ref="E2:E47" ca="1" si="0">IFERROR(DATEDIF(D2,TODAY(),"YM") &amp; "  m " &amp; DATEDIF(D2,TODAY(),"MD") &amp; "  D "," ")</f>
        <v xml:space="preserve">8  m 25  D </v>
      </c>
      <c r="F2" s="8">
        <v>22362</v>
      </c>
      <c r="G2" s="8">
        <v>66220</v>
      </c>
      <c r="H2" s="11">
        <f>الجدول1[[#This Row],[O2]]/الجدول1[[#This Row],[N2]]</f>
        <v>0.33769254001812143</v>
      </c>
      <c r="I2" s="8">
        <v>15</v>
      </c>
      <c r="J2" s="8">
        <v>2109</v>
      </c>
      <c r="K2" s="8">
        <v>2</v>
      </c>
      <c r="L2" s="8">
        <v>2</v>
      </c>
      <c r="M2" s="12">
        <v>0</v>
      </c>
      <c r="N2" s="8">
        <v>2</v>
      </c>
      <c r="O2" s="8">
        <v>85</v>
      </c>
      <c r="P2" s="8" t="s">
        <v>21</v>
      </c>
      <c r="Q2" s="8" t="s">
        <v>113</v>
      </c>
      <c r="R2" s="8" t="s">
        <v>70</v>
      </c>
      <c r="S2" s="4" t="str">
        <f t="shared" ref="S2:S33" si="1">IFERROR(IF(T2&gt;=1,EDATE(D2,T2),"غير محدد"),"غير محدد")</f>
        <v>غير محدد</v>
      </c>
      <c r="T2" s="2" t="str" cm="1">
        <f t="array" ref="T2">IFERROR(MID(R2,MATCH(TRUE,ISNUMBER(1*MID(R2,ROW($1:$13),1)),0),COUNT(1*MID(R2,ROW($1:$13),1))),"غير محدد")</f>
        <v>غير محدد</v>
      </c>
      <c r="U2" s="13" t="s">
        <v>93</v>
      </c>
      <c r="V2" s="11">
        <f>الجدول1[[#This Row],[CO2]]/الجدول1[[#This Row],[CO]]</f>
        <v>24.811764705882354</v>
      </c>
      <c r="W2" s="11">
        <f>الجدول1[[#This Row],[C2H2]]/الجدول1[[#This Row],[C2H4]]</f>
        <v>0</v>
      </c>
      <c r="X2" s="11">
        <f>الجدول1[[#This Row],[C2H4]]/الجدول1[[#This Row],[C2H6]]</f>
        <v>1</v>
      </c>
      <c r="Y2" s="11">
        <f>الجدول1[[#This Row],[CH4]]/الجدول1[[#This Row],[H2]]</f>
        <v>0.13333333333333333</v>
      </c>
      <c r="Z2" s="3" t="str">
        <f t="shared" ref="Z2:Z33" ca="1" si="2">IFERROR(DATEDIF(S2,TODAY(),"MD") &amp; "   ","0 ")</f>
        <v xml:space="preserve">0 </v>
      </c>
    </row>
    <row r="3" spans="1:33" s="14" customFormat="1" ht="24.6" customHeight="1" x14ac:dyDescent="0.2">
      <c r="A3" s="5" t="s">
        <v>167</v>
      </c>
      <c r="B3" s="5" t="s">
        <v>24</v>
      </c>
      <c r="C3" s="6" t="s">
        <v>168</v>
      </c>
      <c r="D3" s="10">
        <v>45372</v>
      </c>
      <c r="E3" s="8" t="str">
        <f t="shared" ca="1" si="0"/>
        <v xml:space="preserve">8  m 25  D </v>
      </c>
      <c r="F3" s="8">
        <v>29848</v>
      </c>
      <c r="G3" s="8">
        <v>81574</v>
      </c>
      <c r="H3" s="11">
        <f>الجدول1[[#This Row],[O2]]/الجدول1[[#This Row],[N2]]</f>
        <v>0.36590089979650381</v>
      </c>
      <c r="I3" s="8">
        <v>8</v>
      </c>
      <c r="J3" s="8">
        <v>2292</v>
      </c>
      <c r="K3" s="8">
        <v>2</v>
      </c>
      <c r="L3" s="8">
        <v>2</v>
      </c>
      <c r="M3" s="12">
        <v>0</v>
      </c>
      <c r="N3" s="8">
        <v>1</v>
      </c>
      <c r="O3" s="8">
        <v>128</v>
      </c>
      <c r="P3" s="8" t="s">
        <v>21</v>
      </c>
      <c r="Q3" s="8" t="s">
        <v>113</v>
      </c>
      <c r="R3" s="8" t="s">
        <v>70</v>
      </c>
      <c r="S3" s="4" t="str">
        <f t="shared" si="1"/>
        <v>غير محدد</v>
      </c>
      <c r="T3" s="2" t="str" cm="1">
        <f t="array" ref="T3">IFERROR(MID(R3,MATCH(TRUE,ISNUMBER(1*MID(R3,ROW($1:$13),1)),0),COUNT(1*MID(R3,ROW($1:$13),1))),"غير محدد")</f>
        <v>غير محدد</v>
      </c>
      <c r="U3" s="13" t="s">
        <v>93</v>
      </c>
      <c r="V3" s="11">
        <f>الجدول1[[#This Row],[CO2]]/الجدول1[[#This Row],[CO]]</f>
        <v>17.90625</v>
      </c>
      <c r="W3" s="11">
        <f>الجدول1[[#This Row],[C2H2]]/الجدول1[[#This Row],[C2H4]]</f>
        <v>0</v>
      </c>
      <c r="X3" s="11">
        <f>الجدول1[[#This Row],[C2H4]]/الجدول1[[#This Row],[C2H6]]</f>
        <v>1</v>
      </c>
      <c r="Y3" s="11">
        <f>الجدول1[[#This Row],[CH4]]/الجدول1[[#This Row],[H2]]</f>
        <v>0.125</v>
      </c>
      <c r="Z3" s="3" t="str">
        <f t="shared" ca="1" si="2"/>
        <v xml:space="preserve">0 </v>
      </c>
    </row>
    <row r="4" spans="1:33" s="14" customFormat="1" ht="24.6" customHeight="1" x14ac:dyDescent="0.2">
      <c r="A4" s="5" t="s">
        <v>141</v>
      </c>
      <c r="B4" s="5" t="s">
        <v>15</v>
      </c>
      <c r="C4" s="6" t="s">
        <v>142</v>
      </c>
      <c r="D4" s="10">
        <v>45286</v>
      </c>
      <c r="E4" s="8" t="str">
        <f t="shared" ca="1" si="0"/>
        <v xml:space="preserve">11  m 20  D </v>
      </c>
      <c r="F4" s="8">
        <v>25832</v>
      </c>
      <c r="G4" s="8">
        <v>80093</v>
      </c>
      <c r="H4" s="11">
        <f>الجدول1[[#This Row],[O2]]/الجدول1[[#This Row],[N2]]</f>
        <v>0.32252506461238811</v>
      </c>
      <c r="I4" s="8">
        <v>53</v>
      </c>
      <c r="J4" s="8">
        <v>4652</v>
      </c>
      <c r="K4" s="8">
        <v>2</v>
      </c>
      <c r="L4" s="8">
        <v>3</v>
      </c>
      <c r="M4" s="12">
        <v>0</v>
      </c>
      <c r="N4" s="8">
        <v>2</v>
      </c>
      <c r="O4" s="8">
        <v>303</v>
      </c>
      <c r="P4" s="8" t="s">
        <v>13</v>
      </c>
      <c r="Q4" s="8" t="s">
        <v>90</v>
      </c>
      <c r="R4" s="8" t="s">
        <v>12</v>
      </c>
      <c r="S4" s="4" t="str">
        <f t="shared" si="1"/>
        <v>غير محدد</v>
      </c>
      <c r="T4" s="2" t="str" cm="1">
        <f t="array" ref="T4">IFERROR(MID(R4,MATCH(TRUE,ISNUMBER(1*MID(R4,ROW($1:$13),1)),0),COUNT(1*MID(R4,ROW($1:$13),1))),"غير محدد")</f>
        <v>غير محدد</v>
      </c>
      <c r="U4" s="13" t="s">
        <v>93</v>
      </c>
      <c r="V4" s="11">
        <f>الجدول1[[#This Row],[CO2]]/الجدول1[[#This Row],[CO]]</f>
        <v>15.353135313531354</v>
      </c>
      <c r="W4" s="11">
        <f>الجدول1[[#This Row],[C2H2]]/الجدول1[[#This Row],[C2H4]]</f>
        <v>0</v>
      </c>
      <c r="X4" s="11">
        <f>الجدول1[[#This Row],[C2H4]]/الجدول1[[#This Row],[C2H6]]</f>
        <v>0.66666666666666663</v>
      </c>
      <c r="Y4" s="11">
        <f>الجدول1[[#This Row],[CH4]]/الجدول1[[#This Row],[H2]]</f>
        <v>3.7735849056603772E-2</v>
      </c>
      <c r="Z4" s="3" t="str">
        <f t="shared" ca="1" si="2"/>
        <v xml:space="preserve">0 </v>
      </c>
    </row>
    <row r="5" spans="1:33" ht="24.6" customHeight="1" x14ac:dyDescent="0.2">
      <c r="A5" s="5" t="s">
        <v>141</v>
      </c>
      <c r="B5" s="5" t="s">
        <v>24</v>
      </c>
      <c r="C5" s="6" t="s">
        <v>142</v>
      </c>
      <c r="D5" s="7">
        <v>45286</v>
      </c>
      <c r="E5" s="8" t="str">
        <f t="shared" ca="1" si="0"/>
        <v xml:space="preserve">11  m 20  D </v>
      </c>
      <c r="F5" s="8">
        <v>25916</v>
      </c>
      <c r="G5" s="8">
        <v>77958</v>
      </c>
      <c r="H5" s="11">
        <f>الجدول1[[#This Row],[O2]]/الجدول1[[#This Row],[N2]]</f>
        <v>0.33243541394083992</v>
      </c>
      <c r="I5" s="8">
        <v>53</v>
      </c>
      <c r="J5" s="8">
        <v>1626</v>
      </c>
      <c r="K5" s="8">
        <v>2</v>
      </c>
      <c r="L5" s="8">
        <v>3</v>
      </c>
      <c r="M5" s="12">
        <v>0</v>
      </c>
      <c r="N5" s="8">
        <v>3</v>
      </c>
      <c r="O5" s="8">
        <v>141</v>
      </c>
      <c r="P5" s="8" t="s">
        <v>25</v>
      </c>
      <c r="Q5" s="8" t="s">
        <v>90</v>
      </c>
      <c r="R5" s="8" t="s">
        <v>12</v>
      </c>
      <c r="S5" s="4" t="str">
        <f t="shared" si="1"/>
        <v>غير محدد</v>
      </c>
      <c r="T5" s="2" t="str" cm="1">
        <f t="array" ref="T5">IFERROR(MID(R5,MATCH(TRUE,ISNUMBER(1*MID(R5,ROW($1:$13),1)),0),COUNT(1*MID(R5,ROW($1:$13),1))),"غير محدد")</f>
        <v>غير محدد</v>
      </c>
      <c r="U5" s="13" t="s">
        <v>57</v>
      </c>
      <c r="V5" s="11">
        <f>الجدول1[[#This Row],[CO2]]/الجدول1[[#This Row],[CO]]</f>
        <v>11.531914893617021</v>
      </c>
      <c r="W5" s="11">
        <f>الجدول1[[#This Row],[C2H2]]/الجدول1[[#This Row],[C2H4]]</f>
        <v>0</v>
      </c>
      <c r="X5" s="11">
        <f>الجدول1[[#This Row],[C2H4]]/الجدول1[[#This Row],[C2H6]]</f>
        <v>0.66666666666666663</v>
      </c>
      <c r="Y5" s="11">
        <f>الجدول1[[#This Row],[CH4]]/الجدول1[[#This Row],[H2]]</f>
        <v>5.6603773584905662E-2</v>
      </c>
      <c r="Z5" s="3" t="str">
        <f t="shared" ca="1" si="2"/>
        <v xml:space="preserve">0 </v>
      </c>
      <c r="AA5" s="1"/>
      <c r="AB5" s="1"/>
      <c r="AC5" s="1"/>
      <c r="AD5" s="1"/>
      <c r="AE5" s="1"/>
      <c r="AF5" s="1"/>
      <c r="AG5" s="1"/>
    </row>
    <row r="6" spans="1:33" ht="24.6" customHeight="1" x14ac:dyDescent="0.2">
      <c r="A6" s="5" t="s">
        <v>182</v>
      </c>
      <c r="B6" s="5" t="s">
        <v>24</v>
      </c>
      <c r="C6" s="6" t="s">
        <v>183</v>
      </c>
      <c r="D6" s="10">
        <v>45480</v>
      </c>
      <c r="E6" s="8" t="str">
        <f t="shared" ca="1" si="0"/>
        <v xml:space="preserve">5  m 9  D </v>
      </c>
      <c r="F6" s="8">
        <v>18330</v>
      </c>
      <c r="G6" s="8">
        <v>81658</v>
      </c>
      <c r="H6" s="11">
        <f>الجدول1[[#This Row],[O2]]/الجدول1[[#This Row],[N2]]</f>
        <v>0.22447280119522889</v>
      </c>
      <c r="I6" s="8">
        <v>22</v>
      </c>
      <c r="J6" s="8">
        <v>1968</v>
      </c>
      <c r="K6" s="8">
        <v>1</v>
      </c>
      <c r="L6" s="8">
        <v>6</v>
      </c>
      <c r="M6" s="8">
        <v>0</v>
      </c>
      <c r="N6" s="8">
        <v>1</v>
      </c>
      <c r="O6" s="8">
        <v>179</v>
      </c>
      <c r="P6" s="15" t="s">
        <v>21</v>
      </c>
      <c r="Q6" s="8" t="s">
        <v>113</v>
      </c>
      <c r="R6" s="8" t="s">
        <v>70</v>
      </c>
      <c r="S6" s="21" t="str">
        <f t="shared" si="1"/>
        <v>غير محدد</v>
      </c>
      <c r="T6" s="15" t="str" cm="1">
        <f t="array" ref="T6">IFERROR(MID(R6,MATCH(TRUE,ISNUMBER(1*MID(R6,ROW($1:$13),1)),0),COUNT(1*MID(R6,ROW($1:$13),1))),"غير محدد")</f>
        <v>غير محدد</v>
      </c>
      <c r="U6" s="13" t="s">
        <v>93</v>
      </c>
      <c r="V6" s="11">
        <f>الجدول1[[#This Row],[CO2]]/الجدول1[[#This Row],[CO]]</f>
        <v>10.994413407821229</v>
      </c>
      <c r="W6" s="11">
        <f>الجدول1[[#This Row],[C2H2]]/الجدول1[[#This Row],[C2H4]]</f>
        <v>0</v>
      </c>
      <c r="X6" s="11">
        <f>الجدول1[[#This Row],[C2H4]]/الجدول1[[#This Row],[C2H6]]</f>
        <v>0.16666666666666666</v>
      </c>
      <c r="Y6" s="17">
        <f>الجدول1[[#This Row],[CH4]]/الجدول1[[#This Row],[H2]]</f>
        <v>4.5454545454545456E-2</v>
      </c>
      <c r="Z6" s="3" t="str">
        <f t="shared" ca="1" si="2"/>
        <v xml:space="preserve">0 </v>
      </c>
      <c r="AA6" s="1"/>
      <c r="AB6" s="1"/>
      <c r="AC6" s="1"/>
      <c r="AD6" s="1"/>
      <c r="AE6" s="1"/>
      <c r="AF6" s="1"/>
      <c r="AG6" s="1"/>
    </row>
    <row r="7" spans="1:33" ht="24.6" customHeight="1" x14ac:dyDescent="0.2">
      <c r="A7" s="5" t="s">
        <v>182</v>
      </c>
      <c r="B7" s="5" t="s">
        <v>24</v>
      </c>
      <c r="C7" s="6" t="s">
        <v>183</v>
      </c>
      <c r="D7" s="10">
        <v>45875</v>
      </c>
      <c r="E7" s="8" t="str">
        <f t="shared" ca="1" si="0"/>
        <v xml:space="preserve">4  m 10  D </v>
      </c>
      <c r="F7" s="8">
        <v>30226</v>
      </c>
      <c r="G7" s="8">
        <v>117829</v>
      </c>
      <c r="H7" s="11">
        <f>الجدول1[[#This Row],[O2]]/الجدول1[[#This Row],[N2]]</f>
        <v>0.25652428519294912</v>
      </c>
      <c r="I7" s="8">
        <v>27</v>
      </c>
      <c r="J7" s="8">
        <v>5990</v>
      </c>
      <c r="K7" s="8">
        <v>2</v>
      </c>
      <c r="L7" s="8">
        <v>1</v>
      </c>
      <c r="M7" s="8">
        <v>0</v>
      </c>
      <c r="N7" s="8">
        <v>1</v>
      </c>
      <c r="O7" s="8">
        <v>824</v>
      </c>
      <c r="P7" s="15" t="s">
        <v>13</v>
      </c>
      <c r="Q7" s="8" t="s">
        <v>90</v>
      </c>
      <c r="R7" s="8" t="s">
        <v>153</v>
      </c>
      <c r="S7" s="21">
        <f t="shared" si="1"/>
        <v>45967</v>
      </c>
      <c r="T7" s="15" t="str" cm="1">
        <f t="array" ref="T7">IFERROR(MID(R7,MATCH(TRUE,ISNUMBER(1*MID(R7,ROW($1:$13),1)),0),COUNT(1*MID(R7,ROW($1:$13),1))),"غير محدد")</f>
        <v>3</v>
      </c>
      <c r="U7" s="13" t="s">
        <v>57</v>
      </c>
      <c r="V7" s="11">
        <f>الجدول1[[#This Row],[CO2]]/الجدول1[[#This Row],[CO]]</f>
        <v>7.2694174757281553</v>
      </c>
      <c r="W7" s="11">
        <f>الجدول1[[#This Row],[C2H2]]/الجدول1[[#This Row],[C2H4]]</f>
        <v>0</v>
      </c>
      <c r="X7" s="11">
        <f>الجدول1[[#This Row],[C2H4]]/الجدول1[[#This Row],[C2H6]]</f>
        <v>2</v>
      </c>
      <c r="Y7" s="17">
        <f>الجدول1[[#This Row],[CH4]]/الجدول1[[#This Row],[H2]]</f>
        <v>3.7037037037037035E-2</v>
      </c>
      <c r="Z7" s="3" t="str">
        <f t="shared" ca="1" si="2"/>
        <v xml:space="preserve">10   </v>
      </c>
      <c r="AA7" s="1"/>
      <c r="AB7" s="1"/>
      <c r="AC7" s="1"/>
      <c r="AD7" s="1"/>
      <c r="AE7" s="1"/>
      <c r="AF7" s="1"/>
      <c r="AG7" s="1"/>
    </row>
    <row r="8" spans="1:33" ht="24.6" customHeight="1" x14ac:dyDescent="0.2">
      <c r="A8" s="5" t="s">
        <v>143</v>
      </c>
      <c r="B8" s="5" t="s">
        <v>24</v>
      </c>
      <c r="C8" s="6" t="s">
        <v>66</v>
      </c>
      <c r="D8" s="7">
        <v>45286</v>
      </c>
      <c r="E8" s="8" t="str">
        <f t="shared" ca="1" si="0"/>
        <v xml:space="preserve">11  m 20  D </v>
      </c>
      <c r="F8" s="8">
        <v>27497</v>
      </c>
      <c r="G8" s="8">
        <v>70251</v>
      </c>
      <c r="H8" s="11">
        <f>الجدول1[[#This Row],[O2]]/الجدول1[[#This Row],[N2]]</f>
        <v>0.39141079842279825</v>
      </c>
      <c r="I8" s="8">
        <v>77</v>
      </c>
      <c r="J8" s="8">
        <v>2303</v>
      </c>
      <c r="K8" s="8">
        <v>4</v>
      </c>
      <c r="L8" s="8">
        <v>3</v>
      </c>
      <c r="M8" s="12">
        <v>0</v>
      </c>
      <c r="N8" s="8">
        <v>2</v>
      </c>
      <c r="O8" s="8">
        <v>250</v>
      </c>
      <c r="P8" s="8" t="s">
        <v>25</v>
      </c>
      <c r="Q8" s="8" t="s">
        <v>90</v>
      </c>
      <c r="R8" s="8" t="s">
        <v>12</v>
      </c>
      <c r="S8" s="4" t="str">
        <f t="shared" si="1"/>
        <v>غير محدد</v>
      </c>
      <c r="T8" s="2" t="str" cm="1">
        <f t="array" ref="T8">IFERROR(MID(R8,MATCH(TRUE,ISNUMBER(1*MID(R8,ROW($1:$13),1)),0),COUNT(1*MID(R8,ROW($1:$13),1))),"غير محدد")</f>
        <v>غير محدد</v>
      </c>
      <c r="U8" s="13" t="s">
        <v>57</v>
      </c>
      <c r="V8" s="11">
        <f>الجدول1[[#This Row],[CO2]]/الجدول1[[#This Row],[CO]]</f>
        <v>9.2119999999999997</v>
      </c>
      <c r="W8" s="11">
        <f>الجدول1[[#This Row],[C2H2]]/الجدول1[[#This Row],[C2H4]]</f>
        <v>0</v>
      </c>
      <c r="X8" s="11">
        <f>الجدول1[[#This Row],[C2H4]]/الجدول1[[#This Row],[C2H6]]</f>
        <v>1.3333333333333333</v>
      </c>
      <c r="Y8" s="11">
        <f>الجدول1[[#This Row],[CH4]]/الجدول1[[#This Row],[H2]]</f>
        <v>2.5974025974025976E-2</v>
      </c>
      <c r="Z8" s="3" t="str">
        <f t="shared" ca="1" si="2"/>
        <v xml:space="preserve">0 </v>
      </c>
      <c r="AA8" s="1"/>
      <c r="AB8" s="1"/>
      <c r="AC8" s="1"/>
      <c r="AD8" s="1"/>
      <c r="AE8" s="1"/>
      <c r="AF8" s="1"/>
      <c r="AG8" s="1"/>
    </row>
    <row r="9" spans="1:33" ht="24.6" customHeight="1" x14ac:dyDescent="0.2">
      <c r="A9" s="5" t="s">
        <v>122</v>
      </c>
      <c r="B9" s="5" t="s">
        <v>15</v>
      </c>
      <c r="C9" s="6" t="s">
        <v>27</v>
      </c>
      <c r="D9" s="7">
        <v>45208</v>
      </c>
      <c r="E9" s="8" t="str">
        <f t="shared" ca="1" si="0"/>
        <v xml:space="preserve">2  m 7  D </v>
      </c>
      <c r="F9" s="8">
        <v>3242</v>
      </c>
      <c r="G9" s="8">
        <v>140739</v>
      </c>
      <c r="H9" s="11">
        <f>الجدول1[[#This Row],[O2]]/الجدول1[[#This Row],[N2]]</f>
        <v>2.3035548071252462E-2</v>
      </c>
      <c r="I9" s="8">
        <v>220</v>
      </c>
      <c r="J9" s="8">
        <v>7393</v>
      </c>
      <c r="K9" s="8">
        <v>4</v>
      </c>
      <c r="L9" s="8">
        <v>4</v>
      </c>
      <c r="M9" s="12">
        <v>0</v>
      </c>
      <c r="N9" s="8">
        <v>2</v>
      </c>
      <c r="O9" s="8">
        <v>618</v>
      </c>
      <c r="P9" s="8" t="s">
        <v>13</v>
      </c>
      <c r="Q9" s="8">
        <v>2</v>
      </c>
      <c r="R9" s="15" t="s">
        <v>12</v>
      </c>
      <c r="S9" s="4" t="str">
        <f t="shared" si="1"/>
        <v>غير محدد</v>
      </c>
      <c r="T9" s="2" t="str" cm="1">
        <f t="array" ref="T9">IFERROR(MID(R9,MATCH(TRUE,ISNUMBER(1*MID(R9,ROW($1:$13),1)),0),COUNT(1*MID(R9,ROW($1:$13),1))),"غير محدد")</f>
        <v>غير محدد</v>
      </c>
      <c r="U9" s="8" t="s">
        <v>57</v>
      </c>
      <c r="V9" s="11">
        <f>الجدول1[[#This Row],[CO2]]/الجدول1[[#This Row],[CO]]</f>
        <v>11.962783171521036</v>
      </c>
      <c r="W9" s="11">
        <f>الجدول1[[#This Row],[C2H2]]/الجدول1[[#This Row],[C2H4]]</f>
        <v>0</v>
      </c>
      <c r="X9" s="11">
        <f>الجدول1[[#This Row],[C2H4]]/الجدول1[[#This Row],[C2H6]]</f>
        <v>1</v>
      </c>
      <c r="Y9" s="11">
        <f>الجدول1[[#This Row],[CH4]]/الجدول1[[#This Row],[H2]]</f>
        <v>9.0909090909090905E-3</v>
      </c>
      <c r="Z9" s="3" t="str">
        <f t="shared" ca="1" si="2"/>
        <v xml:space="preserve">0 </v>
      </c>
      <c r="AA9" s="1"/>
      <c r="AB9" s="1"/>
      <c r="AC9" s="1"/>
      <c r="AD9" s="1"/>
      <c r="AE9" s="1"/>
      <c r="AF9" s="1"/>
      <c r="AG9" s="1"/>
    </row>
    <row r="10" spans="1:33" ht="24.6" customHeight="1" x14ac:dyDescent="0.2">
      <c r="A10" s="5" t="s">
        <v>122</v>
      </c>
      <c r="B10" s="5" t="s">
        <v>24</v>
      </c>
      <c r="C10" s="6" t="s">
        <v>27</v>
      </c>
      <c r="D10" s="7">
        <v>45412</v>
      </c>
      <c r="E10" s="8" t="str">
        <f t="shared" ca="1" si="0"/>
        <v xml:space="preserve">7  m 16  D </v>
      </c>
      <c r="F10" s="8">
        <v>17313</v>
      </c>
      <c r="G10" s="8">
        <v>76659</v>
      </c>
      <c r="H10" s="11">
        <f>الجدول1[[#This Row],[O2]]/الجدول1[[#This Row],[N2]]</f>
        <v>0.22584432356279105</v>
      </c>
      <c r="I10" s="8">
        <v>47</v>
      </c>
      <c r="J10" s="8">
        <v>2544</v>
      </c>
      <c r="K10" s="8">
        <v>7</v>
      </c>
      <c r="L10" s="8">
        <v>4</v>
      </c>
      <c r="M10" s="12">
        <v>0</v>
      </c>
      <c r="N10" s="8">
        <v>1</v>
      </c>
      <c r="O10" s="8">
        <v>260</v>
      </c>
      <c r="P10" s="8" t="s">
        <v>10</v>
      </c>
      <c r="Q10" s="8" t="s">
        <v>96</v>
      </c>
      <c r="R10" s="15" t="s">
        <v>151</v>
      </c>
      <c r="S10" s="4">
        <f t="shared" si="1"/>
        <v>45442</v>
      </c>
      <c r="T10" s="2" t="str" cm="1">
        <f t="array" ref="T10">IFERROR(MID(R10,MATCH(TRUE,ISNUMBER(1*MID(R10,ROW($1:$13),1)),0),COUNT(1*MID(R10,ROW($1:$13),1))),"غير محدد")</f>
        <v>1</v>
      </c>
      <c r="U10" s="13" t="s">
        <v>93</v>
      </c>
      <c r="V10" s="11">
        <f>الجدول1[[#This Row],[CO2]]/الجدول1[[#This Row],[CO]]</f>
        <v>9.7846153846153854</v>
      </c>
      <c r="W10" s="11">
        <f>الجدول1[[#This Row],[C2H2]]/الجدول1[[#This Row],[C2H4]]</f>
        <v>0</v>
      </c>
      <c r="X10" s="11">
        <f>الجدول1[[#This Row],[C2H4]]/الجدول1[[#This Row],[C2H6]]</f>
        <v>1.75</v>
      </c>
      <c r="Y10" s="11">
        <f>الجدول1[[#This Row],[CH4]]/الجدول1[[#This Row],[H2]]</f>
        <v>2.1276595744680851E-2</v>
      </c>
      <c r="Z10" s="3" t="str">
        <f t="shared" ca="1" si="2"/>
        <v xml:space="preserve">16   </v>
      </c>
      <c r="AA10" s="1"/>
      <c r="AB10" s="1"/>
      <c r="AC10" s="1"/>
      <c r="AD10" s="1"/>
      <c r="AE10" s="1"/>
      <c r="AF10" s="1"/>
      <c r="AG10" s="1"/>
    </row>
    <row r="11" spans="1:33" ht="24.6" customHeight="1" x14ac:dyDescent="0.2">
      <c r="A11" s="5" t="s">
        <v>122</v>
      </c>
      <c r="B11" s="5" t="s">
        <v>24</v>
      </c>
      <c r="C11" s="6" t="s">
        <v>27</v>
      </c>
      <c r="D11" s="7">
        <v>45554</v>
      </c>
      <c r="E11" s="8" t="str">
        <f t="shared" ca="1" si="0"/>
        <v xml:space="preserve">2  m 27  D </v>
      </c>
      <c r="F11" s="8">
        <v>1658</v>
      </c>
      <c r="G11" s="8">
        <v>73080</v>
      </c>
      <c r="H11" s="11">
        <f>الجدول1[[#This Row],[O2]]/الجدول1[[#This Row],[N2]]</f>
        <v>2.2687465790914067E-2</v>
      </c>
      <c r="I11" s="8">
        <v>247</v>
      </c>
      <c r="J11" s="8">
        <v>2004</v>
      </c>
      <c r="K11" s="8">
        <v>1</v>
      </c>
      <c r="L11" s="8">
        <v>5</v>
      </c>
      <c r="M11" s="12">
        <v>0</v>
      </c>
      <c r="N11" s="8">
        <v>5</v>
      </c>
      <c r="O11" s="8">
        <v>275</v>
      </c>
      <c r="P11" s="8" t="s">
        <v>11</v>
      </c>
      <c r="Q11" s="8" t="s">
        <v>90</v>
      </c>
      <c r="R11" s="15" t="s">
        <v>151</v>
      </c>
      <c r="S11" s="4">
        <f t="shared" si="1"/>
        <v>45584</v>
      </c>
      <c r="T11" s="2" t="str" cm="1">
        <f t="array" ref="T11">IFERROR(MID(R11,MATCH(TRUE,ISNUMBER(1*MID(R11,ROW($1:$13),1)),0),COUNT(1*MID(R11,ROW($1:$13),1))),"غير محدد")</f>
        <v>1</v>
      </c>
      <c r="U11" s="8" t="s">
        <v>57</v>
      </c>
      <c r="V11" s="11">
        <f>الجدول1[[#This Row],[CO2]]/الجدول1[[#This Row],[CO]]</f>
        <v>7.2872727272727271</v>
      </c>
      <c r="W11" s="11">
        <f>الجدول1[[#This Row],[C2H2]]/الجدول1[[#This Row],[C2H4]]</f>
        <v>0</v>
      </c>
      <c r="X11" s="11">
        <f>الجدول1[[#This Row],[C2H4]]/الجدول1[[#This Row],[C2H6]]</f>
        <v>0.2</v>
      </c>
      <c r="Y11" s="11">
        <f>الجدول1[[#This Row],[CH4]]/الجدول1[[#This Row],[H2]]</f>
        <v>2.0242914979757085E-2</v>
      </c>
      <c r="Z11" s="3" t="str">
        <f t="shared" ca="1" si="2"/>
        <v xml:space="preserve">27   </v>
      </c>
      <c r="AA11" s="1"/>
      <c r="AB11" s="1"/>
      <c r="AC11" s="1"/>
      <c r="AD11" s="1"/>
      <c r="AE11" s="1"/>
      <c r="AF11" s="1"/>
      <c r="AG11" s="1"/>
    </row>
    <row r="12" spans="1:33" ht="24.6" customHeight="1" x14ac:dyDescent="0.2">
      <c r="A12" s="5" t="s">
        <v>122</v>
      </c>
      <c r="B12" s="5" t="s">
        <v>24</v>
      </c>
      <c r="C12" s="6" t="s">
        <v>27</v>
      </c>
      <c r="D12" s="7">
        <v>45616</v>
      </c>
      <c r="E12" s="8" t="str">
        <f t="shared" ca="1" si="0"/>
        <v xml:space="preserve">0  m 26  D </v>
      </c>
      <c r="F12" s="8">
        <v>9942</v>
      </c>
      <c r="G12" s="8">
        <v>42195</v>
      </c>
      <c r="H12" s="11">
        <f>الجدول1[[#This Row],[O2]]/الجدول1[[#This Row],[N2]]</f>
        <v>0.2356203341628155</v>
      </c>
      <c r="I12" s="8">
        <v>126</v>
      </c>
      <c r="J12" s="8">
        <v>2595</v>
      </c>
      <c r="K12" s="8">
        <v>3</v>
      </c>
      <c r="L12" s="8">
        <v>4</v>
      </c>
      <c r="M12" s="12">
        <v>0</v>
      </c>
      <c r="N12" s="8">
        <v>1</v>
      </c>
      <c r="O12" s="8">
        <v>170</v>
      </c>
      <c r="P12" s="8" t="s">
        <v>13</v>
      </c>
      <c r="Q12" s="8" t="s">
        <v>90</v>
      </c>
      <c r="R12" s="15" t="s">
        <v>151</v>
      </c>
      <c r="S12" s="4">
        <f t="shared" si="1"/>
        <v>45646</v>
      </c>
      <c r="T12" s="2" t="str" cm="1">
        <f t="array" ref="T12">IFERROR(MID(R12,MATCH(TRUE,ISNUMBER(1*MID(R12,ROW($1:$13),1)),0),COUNT(1*MID(R12,ROW($1:$13),1))),"غير محدد")</f>
        <v>1</v>
      </c>
      <c r="U12" s="8" t="s">
        <v>57</v>
      </c>
      <c r="V12" s="11">
        <f>الجدول1[[#This Row],[CO2]]/الجدول1[[#This Row],[CO]]</f>
        <v>15.264705882352942</v>
      </c>
      <c r="W12" s="11">
        <f>الجدول1[[#This Row],[C2H2]]/الجدول1[[#This Row],[C2H4]]</f>
        <v>0</v>
      </c>
      <c r="X12" s="11">
        <f>الجدول1[[#This Row],[C2H4]]/الجدول1[[#This Row],[C2H6]]</f>
        <v>0.75</v>
      </c>
      <c r="Y12" s="11">
        <f>الجدول1[[#This Row],[CH4]]/الجدول1[[#This Row],[H2]]</f>
        <v>7.9365079365079361E-3</v>
      </c>
      <c r="Z12" s="3" t="str">
        <f t="shared" ca="1" si="2"/>
        <v xml:space="preserve">26   </v>
      </c>
      <c r="AA12" s="1"/>
      <c r="AB12" s="1"/>
      <c r="AC12" s="1"/>
      <c r="AD12" s="1"/>
      <c r="AE12" s="1"/>
      <c r="AF12" s="1"/>
      <c r="AG12" s="1"/>
    </row>
    <row r="13" spans="1:33" ht="24.6" customHeight="1" x14ac:dyDescent="0.2">
      <c r="A13" s="5" t="s">
        <v>122</v>
      </c>
      <c r="B13" s="5" t="s">
        <v>38</v>
      </c>
      <c r="C13" s="6" t="s">
        <v>27</v>
      </c>
      <c r="D13" s="7">
        <v>45412</v>
      </c>
      <c r="E13" s="8" t="str">
        <f t="shared" ca="1" si="0"/>
        <v xml:space="preserve">7  m 16  D </v>
      </c>
      <c r="F13" s="8">
        <v>25698</v>
      </c>
      <c r="G13" s="8">
        <v>99833</v>
      </c>
      <c r="H13" s="11">
        <f>الجدول1[[#This Row],[O2]]/الجدول1[[#This Row],[N2]]</f>
        <v>0.25740987449039898</v>
      </c>
      <c r="I13" s="8">
        <v>45</v>
      </c>
      <c r="J13" s="8">
        <v>1884</v>
      </c>
      <c r="K13" s="8">
        <v>2</v>
      </c>
      <c r="L13" s="8">
        <v>1</v>
      </c>
      <c r="M13" s="12">
        <v>0</v>
      </c>
      <c r="N13" s="8">
        <v>2</v>
      </c>
      <c r="O13" s="8">
        <v>141</v>
      </c>
      <c r="P13" s="8" t="s">
        <v>10</v>
      </c>
      <c r="Q13" s="8" t="s">
        <v>96</v>
      </c>
      <c r="R13" s="15" t="s">
        <v>151</v>
      </c>
      <c r="S13" s="4">
        <f t="shared" si="1"/>
        <v>45442</v>
      </c>
      <c r="T13" s="2" t="str" cm="1">
        <f t="array" ref="T13">IFERROR(MID(R13,MATCH(TRUE,ISNUMBER(1*MID(R13,ROW($1:$13),1)),0),COUNT(1*MID(R13,ROW($1:$13),1))),"غير محدد")</f>
        <v>1</v>
      </c>
      <c r="U13" s="8" t="s">
        <v>57</v>
      </c>
      <c r="V13" s="11">
        <f>الجدول1[[#This Row],[CO2]]/الجدول1[[#This Row],[CO]]</f>
        <v>13.361702127659575</v>
      </c>
      <c r="W13" s="11">
        <f>الجدول1[[#This Row],[C2H2]]/الجدول1[[#This Row],[C2H4]]</f>
        <v>0</v>
      </c>
      <c r="X13" s="11">
        <f>الجدول1[[#This Row],[C2H4]]/الجدول1[[#This Row],[C2H6]]</f>
        <v>2</v>
      </c>
      <c r="Y13" s="11">
        <f>الجدول1[[#This Row],[CH4]]/الجدول1[[#This Row],[H2]]</f>
        <v>4.4444444444444446E-2</v>
      </c>
      <c r="Z13" s="3" t="str">
        <f t="shared" ca="1" si="2"/>
        <v xml:space="preserve">16   </v>
      </c>
      <c r="AA13" s="1"/>
      <c r="AB13" s="1"/>
      <c r="AC13" s="1"/>
      <c r="AD13" s="1"/>
      <c r="AE13" s="1"/>
      <c r="AF13" s="1"/>
      <c r="AG13" s="1"/>
    </row>
    <row r="14" spans="1:33" ht="24.6" customHeight="1" x14ac:dyDescent="0.2">
      <c r="A14" s="5" t="s">
        <v>122</v>
      </c>
      <c r="B14" s="5" t="s">
        <v>39</v>
      </c>
      <c r="C14" s="6" t="s">
        <v>27</v>
      </c>
      <c r="D14" s="7">
        <v>45372</v>
      </c>
      <c r="E14" s="8" t="str">
        <f t="shared" ca="1" si="0"/>
        <v xml:space="preserve">8  m 25  D </v>
      </c>
      <c r="F14" s="8">
        <v>5484</v>
      </c>
      <c r="G14" s="8">
        <v>74234</v>
      </c>
      <c r="H14" s="11">
        <f>الجدول1[[#This Row],[O2]]/الجدول1[[#This Row],[N2]]</f>
        <v>7.3874504943826275E-2</v>
      </c>
      <c r="I14" s="8">
        <v>229</v>
      </c>
      <c r="J14" s="8">
        <v>4432</v>
      </c>
      <c r="K14" s="8">
        <v>106</v>
      </c>
      <c r="L14" s="8">
        <v>3</v>
      </c>
      <c r="M14" s="12">
        <v>0</v>
      </c>
      <c r="N14" s="8">
        <v>12</v>
      </c>
      <c r="O14" s="8">
        <v>732</v>
      </c>
      <c r="P14" s="8" t="s">
        <v>13</v>
      </c>
      <c r="Q14" s="8" t="s">
        <v>90</v>
      </c>
      <c r="R14" s="15" t="s">
        <v>151</v>
      </c>
      <c r="S14" s="4">
        <f t="shared" si="1"/>
        <v>45403</v>
      </c>
      <c r="T14" s="2" t="str" cm="1">
        <f t="array" ref="T14">IFERROR(MID(R14,MATCH(TRUE,ISNUMBER(1*MID(R14,ROW($1:$13),1)),0),COUNT(1*MID(R14,ROW($1:$13),1))),"غير محدد")</f>
        <v>1</v>
      </c>
      <c r="U14" s="13" t="s">
        <v>93</v>
      </c>
      <c r="V14" s="11">
        <f>الجدول1[[#This Row],[CO2]]/الجدول1[[#This Row],[CO]]</f>
        <v>6.054644808743169</v>
      </c>
      <c r="W14" s="11">
        <f>الجدول1[[#This Row],[C2H2]]/الجدول1[[#This Row],[C2H4]]</f>
        <v>0</v>
      </c>
      <c r="X14" s="11">
        <f>الجدول1[[#This Row],[C2H4]]/الجدول1[[#This Row],[C2H6]]</f>
        <v>35.333333333333336</v>
      </c>
      <c r="Y14" s="11">
        <f>الجدول1[[#This Row],[CH4]]/الجدول1[[#This Row],[H2]]</f>
        <v>5.2401746724890827E-2</v>
      </c>
      <c r="Z14" s="3" t="str">
        <f t="shared" ca="1" si="2"/>
        <v xml:space="preserve">25   </v>
      </c>
      <c r="AA14" s="1"/>
      <c r="AB14" s="1"/>
      <c r="AC14" s="1"/>
      <c r="AD14" s="1"/>
      <c r="AE14" s="1"/>
      <c r="AF14" s="1"/>
      <c r="AG14" s="1"/>
    </row>
    <row r="15" spans="1:33" ht="24.6" customHeight="1" x14ac:dyDescent="0.2">
      <c r="A15" s="5" t="s">
        <v>122</v>
      </c>
      <c r="B15" s="5" t="s">
        <v>39</v>
      </c>
      <c r="C15" s="6" t="s">
        <v>27</v>
      </c>
      <c r="D15" s="7">
        <v>45412</v>
      </c>
      <c r="E15" s="8" t="str">
        <f t="shared" ca="1" si="0"/>
        <v xml:space="preserve">7  m 16  D </v>
      </c>
      <c r="F15" s="8">
        <v>1409</v>
      </c>
      <c r="G15" s="8">
        <v>90786</v>
      </c>
      <c r="H15" s="11">
        <f>الجدول1[[#This Row],[O2]]/الجدول1[[#This Row],[N2]]</f>
        <v>1.5520014099090169E-2</v>
      </c>
      <c r="I15" s="8">
        <v>161</v>
      </c>
      <c r="J15" s="8">
        <v>3091</v>
      </c>
      <c r="K15" s="8">
        <v>118</v>
      </c>
      <c r="L15" s="8">
        <v>95</v>
      </c>
      <c r="M15" s="12">
        <v>0</v>
      </c>
      <c r="N15" s="8">
        <v>100</v>
      </c>
      <c r="O15" s="8">
        <v>751</v>
      </c>
      <c r="P15" s="8" t="s">
        <v>13</v>
      </c>
      <c r="Q15" s="8" t="s">
        <v>90</v>
      </c>
      <c r="R15" s="15" t="s">
        <v>151</v>
      </c>
      <c r="S15" s="4">
        <f t="shared" si="1"/>
        <v>45442</v>
      </c>
      <c r="T15" s="2" t="str" cm="1">
        <f t="array" ref="T15">IFERROR(MID(R15,MATCH(TRUE,ISNUMBER(1*MID(R15,ROW($1:$13),1)),0),COUNT(1*MID(R15,ROW($1:$13),1))),"غير محدد")</f>
        <v>1</v>
      </c>
      <c r="U15" s="13" t="s">
        <v>93</v>
      </c>
      <c r="V15" s="11">
        <f>الجدول1[[#This Row],[CO2]]/الجدول1[[#This Row],[CO]]</f>
        <v>4.1158455392809588</v>
      </c>
      <c r="W15" s="11">
        <f>الجدول1[[#This Row],[C2H2]]/الجدول1[[#This Row],[C2H4]]</f>
        <v>0</v>
      </c>
      <c r="X15" s="11">
        <f>الجدول1[[#This Row],[C2H4]]/الجدول1[[#This Row],[C2H6]]</f>
        <v>1.2421052631578948</v>
      </c>
      <c r="Y15" s="11">
        <f>الجدول1[[#This Row],[CH4]]/الجدول1[[#This Row],[H2]]</f>
        <v>0.6211180124223602</v>
      </c>
      <c r="Z15" s="3" t="str">
        <f t="shared" ca="1" si="2"/>
        <v xml:space="preserve">16   </v>
      </c>
      <c r="AA15" s="1"/>
      <c r="AB15" s="1"/>
      <c r="AC15" s="1"/>
      <c r="AD15" s="1"/>
      <c r="AE15" s="1"/>
      <c r="AF15" s="1"/>
      <c r="AG15" s="1"/>
    </row>
    <row r="16" spans="1:33" ht="24.6" customHeight="1" x14ac:dyDescent="0.2">
      <c r="A16" s="5" t="s">
        <v>122</v>
      </c>
      <c r="B16" s="5" t="s">
        <v>39</v>
      </c>
      <c r="C16" s="6" t="s">
        <v>27</v>
      </c>
      <c r="D16" s="7">
        <v>45480</v>
      </c>
      <c r="E16" s="8" t="str">
        <f t="shared" ca="1" si="0"/>
        <v xml:space="preserve">5  m 9  D </v>
      </c>
      <c r="F16" s="8">
        <v>1588</v>
      </c>
      <c r="G16" s="8">
        <v>78319</v>
      </c>
      <c r="H16" s="11">
        <f>الجدول1[[#This Row],[O2]]/الجدول1[[#This Row],[N2]]</f>
        <v>2.0276050511370165E-2</v>
      </c>
      <c r="I16" s="8">
        <v>159</v>
      </c>
      <c r="J16" s="8">
        <v>3979</v>
      </c>
      <c r="K16" s="8">
        <v>116</v>
      </c>
      <c r="L16" s="8">
        <v>167</v>
      </c>
      <c r="M16" s="12">
        <v>0</v>
      </c>
      <c r="N16" s="8">
        <v>5</v>
      </c>
      <c r="O16" s="8">
        <v>158</v>
      </c>
      <c r="P16" s="8" t="s">
        <v>13</v>
      </c>
      <c r="Q16" s="8" t="s">
        <v>90</v>
      </c>
      <c r="R16" s="15" t="s">
        <v>164</v>
      </c>
      <c r="S16" s="4" t="str">
        <f t="shared" si="1"/>
        <v>غير محدد</v>
      </c>
      <c r="T16" s="2" t="str" cm="1">
        <f t="array" ref="T16">IFERROR(MID(R16,MATCH(TRUE,ISNUMBER(1*MID(R16,ROW($1:$13),1)),0),COUNT(1*MID(R16,ROW($1:$13),1))),"غير محدد")</f>
        <v>غير محدد</v>
      </c>
      <c r="U16" s="13" t="s">
        <v>93</v>
      </c>
      <c r="V16" s="11">
        <f>الجدول1[[#This Row],[CO2]]/الجدول1[[#This Row],[CO]]</f>
        <v>25.183544303797468</v>
      </c>
      <c r="W16" s="11">
        <f>الجدول1[[#This Row],[C2H2]]/الجدول1[[#This Row],[C2H4]]</f>
        <v>0</v>
      </c>
      <c r="X16" s="11">
        <f>الجدول1[[#This Row],[C2H4]]/الجدول1[[#This Row],[C2H6]]</f>
        <v>0.69461077844311381</v>
      </c>
      <c r="Y16" s="11">
        <f>الجدول1[[#This Row],[CH4]]/الجدول1[[#This Row],[H2]]</f>
        <v>3.1446540880503145E-2</v>
      </c>
      <c r="Z16" s="3" t="str">
        <f t="shared" ca="1" si="2"/>
        <v xml:space="preserve">0 </v>
      </c>
      <c r="AA16" s="1"/>
      <c r="AB16" s="1"/>
      <c r="AC16" s="1"/>
      <c r="AD16" s="1"/>
      <c r="AE16" s="1"/>
      <c r="AF16" s="1"/>
      <c r="AG16" s="1"/>
    </row>
    <row r="17" spans="1:33" ht="24.6" customHeight="1" x14ac:dyDescent="0.2">
      <c r="A17" s="5" t="s">
        <v>122</v>
      </c>
      <c r="B17" s="5" t="s">
        <v>39</v>
      </c>
      <c r="C17" s="6" t="s">
        <v>27</v>
      </c>
      <c r="D17" s="7">
        <v>45572</v>
      </c>
      <c r="E17" s="8" t="str">
        <f t="shared" ca="1" si="0"/>
        <v xml:space="preserve">2  m 9  D </v>
      </c>
      <c r="F17" s="8">
        <v>11291</v>
      </c>
      <c r="G17" s="8">
        <v>111266</v>
      </c>
      <c r="H17" s="11">
        <f>الجدول1[[#This Row],[O2]]/الجدول1[[#This Row],[N2]]</f>
        <v>0.10147754030880952</v>
      </c>
      <c r="I17" s="8">
        <v>360</v>
      </c>
      <c r="J17" s="8">
        <v>4324</v>
      </c>
      <c r="K17" s="8">
        <v>1</v>
      </c>
      <c r="L17" s="8">
        <v>17</v>
      </c>
      <c r="M17" s="12">
        <v>0</v>
      </c>
      <c r="N17" s="8">
        <v>4</v>
      </c>
      <c r="O17" s="8">
        <v>623</v>
      </c>
      <c r="P17" s="8" t="s">
        <v>10</v>
      </c>
      <c r="Q17" s="8" t="s">
        <v>90</v>
      </c>
      <c r="R17" s="8" t="s">
        <v>151</v>
      </c>
      <c r="S17" s="4">
        <f t="shared" si="1"/>
        <v>45603</v>
      </c>
      <c r="T17" s="2" t="str" cm="1">
        <f t="array" ref="T17">IFERROR(MID(R17,MATCH(TRUE,ISNUMBER(1*MID(R17,ROW($1:$13),1)),0),COUNT(1*MID(R17,ROW($1:$13),1))),"غير محدد")</f>
        <v>1</v>
      </c>
      <c r="U17" s="13" t="s">
        <v>93</v>
      </c>
      <c r="V17" s="11">
        <f>الجدول1[[#This Row],[CO2]]/الجدول1[[#This Row],[CO]]</f>
        <v>6.9406099518459072</v>
      </c>
      <c r="W17" s="11">
        <f>الجدول1[[#This Row],[C2H2]]/الجدول1[[#This Row],[C2H4]]</f>
        <v>0</v>
      </c>
      <c r="X17" s="11">
        <f>الجدول1[[#This Row],[C2H4]]/الجدول1[[#This Row],[C2H6]]</f>
        <v>5.8823529411764705E-2</v>
      </c>
      <c r="Y17" s="11">
        <f>الجدول1[[#This Row],[CH4]]/الجدول1[[#This Row],[H2]]</f>
        <v>1.1111111111111112E-2</v>
      </c>
      <c r="Z17" s="3" t="str">
        <f t="shared" ca="1" si="2"/>
        <v xml:space="preserve">9   </v>
      </c>
      <c r="AA17" s="1"/>
      <c r="AB17" s="1"/>
      <c r="AC17" s="1"/>
      <c r="AD17" s="1"/>
      <c r="AE17" s="1"/>
      <c r="AF17" s="1"/>
      <c r="AG17" s="1"/>
    </row>
    <row r="18" spans="1:33" ht="24.6" customHeight="1" x14ac:dyDescent="0.2">
      <c r="A18" s="5" t="s">
        <v>122</v>
      </c>
      <c r="B18" s="5" t="s">
        <v>39</v>
      </c>
      <c r="C18" s="6" t="s">
        <v>27</v>
      </c>
      <c r="D18" s="7">
        <v>45574</v>
      </c>
      <c r="E18" s="8" t="str">
        <f t="shared" ca="1" si="0"/>
        <v xml:space="preserve">2  m 7  D </v>
      </c>
      <c r="F18" s="8">
        <v>25820</v>
      </c>
      <c r="G18" s="8">
        <v>227466</v>
      </c>
      <c r="H18" s="11">
        <f>الجدول1[[#This Row],[O2]]/الجدول1[[#This Row],[N2]]</f>
        <v>0.11351146984604292</v>
      </c>
      <c r="I18" s="8">
        <v>189</v>
      </c>
      <c r="J18" s="8">
        <v>5035</v>
      </c>
      <c r="K18" s="8">
        <v>195</v>
      </c>
      <c r="L18" s="8">
        <v>353</v>
      </c>
      <c r="M18" s="12">
        <v>0</v>
      </c>
      <c r="N18" s="8">
        <v>140</v>
      </c>
      <c r="O18" s="8">
        <v>906</v>
      </c>
      <c r="P18" s="8" t="s">
        <v>13</v>
      </c>
      <c r="Q18" s="8" t="s">
        <v>90</v>
      </c>
      <c r="R18" s="8" t="s">
        <v>164</v>
      </c>
      <c r="S18" s="4" t="str">
        <f t="shared" si="1"/>
        <v>غير محدد</v>
      </c>
      <c r="T18" s="2" t="str" cm="1">
        <f t="array" ref="T18">IFERROR(MID(R18,MATCH(TRUE,ISNUMBER(1*MID(R18,ROW($1:$13),1)),0),COUNT(1*MID(R18,ROW($1:$13),1))),"غير محدد")</f>
        <v>غير محدد</v>
      </c>
      <c r="U18" s="13" t="s">
        <v>93</v>
      </c>
      <c r="V18" s="11">
        <f>الجدول1[[#This Row],[CO2]]/الجدول1[[#This Row],[CO]]</f>
        <v>5.5573951434878586</v>
      </c>
      <c r="W18" s="11">
        <f>الجدول1[[#This Row],[C2H2]]/الجدول1[[#This Row],[C2H4]]</f>
        <v>0</v>
      </c>
      <c r="X18" s="11">
        <f>الجدول1[[#This Row],[C2H4]]/الجدول1[[#This Row],[C2H6]]</f>
        <v>0.55240793201133143</v>
      </c>
      <c r="Y18" s="11">
        <f>الجدول1[[#This Row],[CH4]]/الجدول1[[#This Row],[H2]]</f>
        <v>0.7407407407407407</v>
      </c>
      <c r="Z18" s="3" t="str">
        <f t="shared" ca="1" si="2"/>
        <v xml:space="preserve">0 </v>
      </c>
      <c r="AA18" s="1"/>
      <c r="AB18" s="1"/>
      <c r="AC18" s="1"/>
      <c r="AD18" s="1"/>
      <c r="AE18" s="1"/>
      <c r="AF18" s="1"/>
      <c r="AG18" s="1"/>
    </row>
    <row r="19" spans="1:33" ht="24.6" customHeight="1" x14ac:dyDescent="0.2">
      <c r="A19" s="5" t="s">
        <v>122</v>
      </c>
      <c r="B19" s="5" t="s">
        <v>39</v>
      </c>
      <c r="C19" s="6" t="s">
        <v>27</v>
      </c>
      <c r="D19" s="7">
        <v>45630</v>
      </c>
      <c r="E19" s="8" t="str">
        <f t="shared" ca="1" si="0"/>
        <v xml:space="preserve">0  m 12  D </v>
      </c>
      <c r="F19" s="8">
        <v>13072</v>
      </c>
      <c r="G19" s="8">
        <v>54140</v>
      </c>
      <c r="H19" s="11">
        <f>الجدول1[[#This Row],[O2]]/الجدول1[[#This Row],[N2]]</f>
        <v>0.24144809752493535</v>
      </c>
      <c r="I19" s="8">
        <v>49</v>
      </c>
      <c r="J19" s="8">
        <v>2178</v>
      </c>
      <c r="K19" s="8">
        <v>42</v>
      </c>
      <c r="L19" s="8">
        <v>180</v>
      </c>
      <c r="M19" s="12">
        <v>0</v>
      </c>
      <c r="N19" s="8">
        <v>56</v>
      </c>
      <c r="O19" s="8">
        <v>105</v>
      </c>
      <c r="P19" s="8" t="s">
        <v>25</v>
      </c>
      <c r="Q19" s="8" t="s">
        <v>90</v>
      </c>
      <c r="R19" s="8" t="s">
        <v>151</v>
      </c>
      <c r="S19" s="4">
        <f t="shared" si="1"/>
        <v>45661</v>
      </c>
      <c r="T19" s="2" t="str" cm="1">
        <f t="array" ref="T19">IFERROR(MID(R19,MATCH(TRUE,ISNUMBER(1*MID(R19,ROW($1:$13),1)),0),COUNT(1*MID(R19,ROW($1:$13),1))),"غير محدد")</f>
        <v>1</v>
      </c>
      <c r="U19" s="8" t="s">
        <v>57</v>
      </c>
      <c r="V19" s="11">
        <f>الجدول1[[#This Row],[CO2]]/الجدول1[[#This Row],[CO]]</f>
        <v>20.742857142857144</v>
      </c>
      <c r="W19" s="11">
        <f>الجدول1[[#This Row],[C2H2]]/الجدول1[[#This Row],[C2H4]]</f>
        <v>0</v>
      </c>
      <c r="X19" s="11">
        <f>الجدول1[[#This Row],[C2H4]]/الجدول1[[#This Row],[C2H6]]</f>
        <v>0.23333333333333334</v>
      </c>
      <c r="Y19" s="11">
        <f>الجدول1[[#This Row],[CH4]]/الجدول1[[#This Row],[H2]]</f>
        <v>1.1428571428571428</v>
      </c>
      <c r="Z19" s="3" t="str">
        <f t="shared" ca="1" si="2"/>
        <v xml:space="preserve">12   </v>
      </c>
      <c r="AA19" s="1"/>
      <c r="AB19" s="1"/>
      <c r="AC19" s="1"/>
      <c r="AD19" s="1"/>
      <c r="AE19" s="1"/>
      <c r="AF19" s="1"/>
      <c r="AG19" s="1"/>
    </row>
    <row r="20" spans="1:33" ht="24.6" customHeight="1" x14ac:dyDescent="0.2">
      <c r="A20" s="5" t="s">
        <v>124</v>
      </c>
      <c r="B20" s="5" t="s">
        <v>15</v>
      </c>
      <c r="C20" s="6" t="s">
        <v>81</v>
      </c>
      <c r="D20" s="7">
        <v>45217</v>
      </c>
      <c r="E20" s="8" t="str">
        <f t="shared" ca="1" si="0"/>
        <v xml:space="preserve">1  m 28  D </v>
      </c>
      <c r="F20" s="8">
        <v>33460</v>
      </c>
      <c r="G20" s="8">
        <v>151524</v>
      </c>
      <c r="H20" s="11">
        <f>الجدول1[[#This Row],[O2]]/الجدول1[[#This Row],[N2]]</f>
        <v>0.22082310393073046</v>
      </c>
      <c r="I20" s="8">
        <v>61</v>
      </c>
      <c r="J20" s="8">
        <v>10427</v>
      </c>
      <c r="K20" s="8">
        <v>8</v>
      </c>
      <c r="L20" s="8">
        <v>4</v>
      </c>
      <c r="M20" s="12">
        <v>9</v>
      </c>
      <c r="N20" s="8">
        <v>2</v>
      </c>
      <c r="O20" s="8">
        <v>665</v>
      </c>
      <c r="P20" s="8" t="s">
        <v>125</v>
      </c>
      <c r="Q20" s="8" t="s">
        <v>90</v>
      </c>
      <c r="R20" s="8" t="s">
        <v>12</v>
      </c>
      <c r="S20" s="4" t="str">
        <f t="shared" si="1"/>
        <v>غير محدد</v>
      </c>
      <c r="T20" s="2" t="str" cm="1">
        <f t="array" ref="T20">IFERROR(MID(R20,MATCH(TRUE,ISNUMBER(1*MID(R20,ROW($1:$13),1)),0),COUNT(1*MID(R20,ROW($1:$13),1))),"غير محدد")</f>
        <v>غير محدد</v>
      </c>
      <c r="U20" s="13" t="s">
        <v>93</v>
      </c>
      <c r="V20" s="11">
        <f>الجدول1[[#This Row],[CO2]]/الجدول1[[#This Row],[CO]]</f>
        <v>15.679699248120301</v>
      </c>
      <c r="W20" s="11">
        <f>الجدول1[[#This Row],[C2H2]]/الجدول1[[#This Row],[C2H4]]</f>
        <v>1.125</v>
      </c>
      <c r="X20" s="11">
        <f>الجدول1[[#This Row],[C2H4]]/الجدول1[[#This Row],[C2H6]]</f>
        <v>2</v>
      </c>
      <c r="Y20" s="11">
        <f>الجدول1[[#This Row],[CH4]]/الجدول1[[#This Row],[H2]]</f>
        <v>3.2786885245901641E-2</v>
      </c>
      <c r="Z20" s="3" t="str">
        <f t="shared" ca="1" si="2"/>
        <v xml:space="preserve">0 </v>
      </c>
      <c r="AA20" s="1"/>
      <c r="AB20" s="1"/>
      <c r="AC20" s="1"/>
      <c r="AD20" s="1"/>
      <c r="AE20" s="1"/>
      <c r="AF20" s="1"/>
      <c r="AG20" s="1"/>
    </row>
    <row r="21" spans="1:33" ht="24.6" customHeight="1" x14ac:dyDescent="0.2">
      <c r="A21" s="5" t="s">
        <v>124</v>
      </c>
      <c r="B21" s="5" t="s">
        <v>15</v>
      </c>
      <c r="C21" s="6" t="s">
        <v>81</v>
      </c>
      <c r="D21" s="7">
        <v>45372</v>
      </c>
      <c r="E21" s="8" t="str">
        <f t="shared" ca="1" si="0"/>
        <v xml:space="preserve">8  m 25  D </v>
      </c>
      <c r="F21" s="8">
        <v>20627</v>
      </c>
      <c r="G21" s="8">
        <v>60462</v>
      </c>
      <c r="H21" s="11">
        <f>الجدول1[[#This Row],[O2]]/الجدول1[[#This Row],[N2]]</f>
        <v>0.34115642883133207</v>
      </c>
      <c r="I21" s="8">
        <v>36</v>
      </c>
      <c r="J21" s="8">
        <v>3787</v>
      </c>
      <c r="K21" s="8">
        <v>1</v>
      </c>
      <c r="L21" s="8">
        <v>2</v>
      </c>
      <c r="M21" s="12">
        <v>0</v>
      </c>
      <c r="N21" s="8">
        <v>1</v>
      </c>
      <c r="O21" s="8">
        <v>145</v>
      </c>
      <c r="P21" s="8" t="s">
        <v>13</v>
      </c>
      <c r="Q21" s="8" t="s">
        <v>90</v>
      </c>
      <c r="R21" s="8" t="s">
        <v>151</v>
      </c>
      <c r="S21" s="4">
        <f t="shared" si="1"/>
        <v>45403</v>
      </c>
      <c r="T21" s="2" t="str" cm="1">
        <f t="array" ref="T21">IFERROR(MID(R21,MATCH(TRUE,ISNUMBER(1*MID(R21,ROW($1:$13),1)),0),COUNT(1*MID(R21,ROW($1:$13),1))),"غير محدد")</f>
        <v>1</v>
      </c>
      <c r="U21" s="16" t="s">
        <v>57</v>
      </c>
      <c r="V21" s="11">
        <f>الجدول1[[#This Row],[CO2]]/الجدول1[[#This Row],[CO]]</f>
        <v>26.117241379310343</v>
      </c>
      <c r="W21" s="11">
        <f>الجدول1[[#This Row],[C2H2]]/الجدول1[[#This Row],[C2H4]]</f>
        <v>0</v>
      </c>
      <c r="X21" s="11">
        <f>الجدول1[[#This Row],[C2H4]]/الجدول1[[#This Row],[C2H6]]</f>
        <v>0.5</v>
      </c>
      <c r="Y21" s="11">
        <f>الجدول1[[#This Row],[CH4]]/الجدول1[[#This Row],[H2]]</f>
        <v>2.7777777777777776E-2</v>
      </c>
      <c r="Z21" s="3" t="str">
        <f t="shared" ca="1" si="2"/>
        <v xml:space="preserve">25   </v>
      </c>
      <c r="AA21" s="1"/>
      <c r="AB21" s="1"/>
      <c r="AC21" s="1"/>
      <c r="AD21" s="1"/>
      <c r="AE21" s="1"/>
      <c r="AF21" s="1"/>
      <c r="AG21" s="1"/>
    </row>
    <row r="22" spans="1:33" ht="24.6" customHeight="1" x14ac:dyDescent="0.2">
      <c r="A22" s="5" t="s">
        <v>124</v>
      </c>
      <c r="B22" s="5" t="s">
        <v>24</v>
      </c>
      <c r="C22" s="6" t="s">
        <v>81</v>
      </c>
      <c r="D22" s="7">
        <v>45217</v>
      </c>
      <c r="E22" s="8" t="str">
        <f t="shared" ca="1" si="0"/>
        <v xml:space="preserve">1  m 28  D </v>
      </c>
      <c r="F22" s="8">
        <v>47731</v>
      </c>
      <c r="G22" s="8">
        <v>166588</v>
      </c>
      <c r="H22" s="11">
        <f>الجدول1[[#This Row],[O2]]/الجدول1[[#This Row],[N2]]</f>
        <v>0.28652123802434748</v>
      </c>
      <c r="I22" s="8">
        <v>47</v>
      </c>
      <c r="J22" s="8">
        <v>6764</v>
      </c>
      <c r="K22" s="8">
        <v>156</v>
      </c>
      <c r="L22" s="8">
        <v>33</v>
      </c>
      <c r="M22" s="12">
        <v>0</v>
      </c>
      <c r="N22" s="8">
        <v>1</v>
      </c>
      <c r="O22" s="8">
        <v>770</v>
      </c>
      <c r="P22" s="8" t="s">
        <v>13</v>
      </c>
      <c r="Q22" s="8" t="s">
        <v>90</v>
      </c>
      <c r="R22" s="8" t="s">
        <v>12</v>
      </c>
      <c r="S22" s="4" t="str">
        <f t="shared" si="1"/>
        <v>غير محدد</v>
      </c>
      <c r="T22" s="2" t="str" cm="1">
        <f t="array" ref="T22">IFERROR(MID(R22,MATCH(TRUE,ISNUMBER(1*MID(R22,ROW($1:$13),1)),0),COUNT(1*MID(R22,ROW($1:$13),1))),"غير محدد")</f>
        <v>غير محدد</v>
      </c>
      <c r="U22" s="13" t="s">
        <v>93</v>
      </c>
      <c r="V22" s="11">
        <f>الجدول1[[#This Row],[CO2]]/الجدول1[[#This Row],[CO]]</f>
        <v>8.7844155844155836</v>
      </c>
      <c r="W22" s="11">
        <f>الجدول1[[#This Row],[C2H2]]/الجدول1[[#This Row],[C2H4]]</f>
        <v>0</v>
      </c>
      <c r="X22" s="11">
        <f>الجدول1[[#This Row],[C2H4]]/الجدول1[[#This Row],[C2H6]]</f>
        <v>4.7272727272727275</v>
      </c>
      <c r="Y22" s="11">
        <f>الجدول1[[#This Row],[CH4]]/الجدول1[[#This Row],[H2]]</f>
        <v>2.1276595744680851E-2</v>
      </c>
      <c r="Z22" s="3" t="str">
        <f t="shared" ca="1" si="2"/>
        <v xml:space="preserve">0 </v>
      </c>
      <c r="AA22" s="1"/>
      <c r="AB22" s="1"/>
      <c r="AC22" s="1"/>
      <c r="AD22" s="1"/>
      <c r="AE22" s="1"/>
      <c r="AF22" s="1"/>
      <c r="AG22" s="1"/>
    </row>
    <row r="23" spans="1:33" ht="24.6" customHeight="1" x14ac:dyDescent="0.2">
      <c r="A23" s="5" t="s">
        <v>124</v>
      </c>
      <c r="B23" s="5" t="s">
        <v>24</v>
      </c>
      <c r="C23" s="6" t="s">
        <v>81</v>
      </c>
      <c r="D23" s="7">
        <v>45372</v>
      </c>
      <c r="E23" s="8" t="str">
        <f t="shared" ca="1" si="0"/>
        <v xml:space="preserve">8  m 25  D </v>
      </c>
      <c r="F23" s="8">
        <v>25978</v>
      </c>
      <c r="G23" s="8">
        <v>68521</v>
      </c>
      <c r="H23" s="11">
        <f>الجدول1[[#This Row],[O2]]/الجدول1[[#This Row],[N2]]</f>
        <v>0.37912464791815648</v>
      </c>
      <c r="I23" s="8">
        <v>11</v>
      </c>
      <c r="J23" s="8">
        <v>3299</v>
      </c>
      <c r="K23" s="8">
        <v>3</v>
      </c>
      <c r="L23" s="8">
        <v>2</v>
      </c>
      <c r="M23" s="12">
        <v>0</v>
      </c>
      <c r="N23" s="8">
        <v>1</v>
      </c>
      <c r="O23" s="8">
        <v>245</v>
      </c>
      <c r="P23" s="8" t="s">
        <v>13</v>
      </c>
      <c r="Q23" s="8" t="s">
        <v>90</v>
      </c>
      <c r="R23" s="8" t="s">
        <v>150</v>
      </c>
      <c r="S23" s="4">
        <f t="shared" si="1"/>
        <v>45556</v>
      </c>
      <c r="T23" s="2" t="str" cm="1">
        <f t="array" ref="T23">IFERROR(MID(R23,MATCH(TRUE,ISNUMBER(1*MID(R23,ROW($1:$13),1)),0),COUNT(1*MID(R23,ROW($1:$13),1))),"غير محدد")</f>
        <v>6</v>
      </c>
      <c r="U23" s="13" t="s">
        <v>93</v>
      </c>
      <c r="V23" s="11">
        <f>الجدول1[[#This Row],[CO2]]/الجدول1[[#This Row],[CO]]</f>
        <v>13.465306122448979</v>
      </c>
      <c r="W23" s="11">
        <f>الجدول1[[#This Row],[C2H2]]/الجدول1[[#This Row],[C2H4]]</f>
        <v>0</v>
      </c>
      <c r="X23" s="11">
        <f>الجدول1[[#This Row],[C2H4]]/الجدول1[[#This Row],[C2H6]]</f>
        <v>1.5</v>
      </c>
      <c r="Y23" s="11">
        <f>الجدول1[[#This Row],[CH4]]/الجدول1[[#This Row],[H2]]</f>
        <v>9.0909090909090912E-2</v>
      </c>
      <c r="Z23" s="3" t="str">
        <f t="shared" ca="1" si="2"/>
        <v xml:space="preserve">25   </v>
      </c>
      <c r="AA23" s="1"/>
      <c r="AB23" s="1"/>
      <c r="AC23" s="1"/>
      <c r="AD23" s="1"/>
      <c r="AE23" s="1"/>
      <c r="AF23" s="1"/>
      <c r="AG23" s="1"/>
    </row>
    <row r="24" spans="1:33" ht="24.6" customHeight="1" x14ac:dyDescent="0.2">
      <c r="A24" s="5" t="s">
        <v>124</v>
      </c>
      <c r="B24" s="5" t="s">
        <v>24</v>
      </c>
      <c r="C24" s="6" t="s">
        <v>81</v>
      </c>
      <c r="D24" s="7">
        <v>45890</v>
      </c>
      <c r="E24" s="8" t="str">
        <f t="shared" ca="1" si="0"/>
        <v xml:space="preserve">3  m 25  D </v>
      </c>
      <c r="F24" s="8">
        <v>4796</v>
      </c>
      <c r="G24" s="8">
        <v>123750</v>
      </c>
      <c r="H24" s="11">
        <f>الجدول1[[#This Row],[O2]]/الجدول1[[#This Row],[N2]]</f>
        <v>3.8755555555555557E-2</v>
      </c>
      <c r="I24" s="8">
        <v>32</v>
      </c>
      <c r="J24" s="8">
        <v>8454</v>
      </c>
      <c r="K24" s="8">
        <v>242</v>
      </c>
      <c r="L24" s="8">
        <v>54</v>
      </c>
      <c r="M24" s="12">
        <v>0</v>
      </c>
      <c r="N24" s="8">
        <v>14</v>
      </c>
      <c r="O24" s="8">
        <v>723</v>
      </c>
      <c r="P24" s="8" t="s">
        <v>13</v>
      </c>
      <c r="Q24" s="8" t="s">
        <v>90</v>
      </c>
      <c r="R24" s="8" t="s">
        <v>153</v>
      </c>
      <c r="S24" s="4">
        <f t="shared" si="1"/>
        <v>45982</v>
      </c>
      <c r="T24" s="2" t="str" cm="1">
        <f t="array" ref="T24">IFERROR(MID(R24,MATCH(TRUE,ISNUMBER(1*MID(R24,ROW($1:$13),1)),0),COUNT(1*MID(R24,ROW($1:$13),1))),"غير محدد")</f>
        <v>3</v>
      </c>
      <c r="U24" s="16" t="s">
        <v>57</v>
      </c>
      <c r="V24" s="11">
        <f>الجدول1[[#This Row],[CO2]]/الجدول1[[#This Row],[CO]]</f>
        <v>11.692946058091286</v>
      </c>
      <c r="W24" s="11">
        <f>الجدول1[[#This Row],[C2H2]]/الجدول1[[#This Row],[C2H4]]</f>
        <v>0</v>
      </c>
      <c r="X24" s="11">
        <f>الجدول1[[#This Row],[C2H4]]/الجدول1[[#This Row],[C2H6]]</f>
        <v>4.4814814814814818</v>
      </c>
      <c r="Y24" s="11">
        <f>الجدول1[[#This Row],[CH4]]/الجدول1[[#This Row],[H2]]</f>
        <v>0.4375</v>
      </c>
      <c r="Z24" s="3" t="str">
        <f t="shared" ca="1" si="2"/>
        <v xml:space="preserve">25   </v>
      </c>
      <c r="AA24" s="1"/>
      <c r="AB24" s="1"/>
      <c r="AC24" s="1"/>
      <c r="AD24" s="1"/>
      <c r="AE24" s="1"/>
      <c r="AF24" s="1"/>
      <c r="AG24" s="1"/>
    </row>
    <row r="25" spans="1:33" ht="24.6" customHeight="1" x14ac:dyDescent="0.2">
      <c r="A25" s="5" t="s">
        <v>124</v>
      </c>
      <c r="B25" s="5" t="s">
        <v>38</v>
      </c>
      <c r="C25" s="6" t="s">
        <v>81</v>
      </c>
      <c r="D25" s="7">
        <v>45217</v>
      </c>
      <c r="E25" s="8" t="str">
        <f t="shared" ca="1" si="0"/>
        <v xml:space="preserve">1  m 28  D </v>
      </c>
      <c r="F25" s="8">
        <v>42024</v>
      </c>
      <c r="G25" s="8">
        <v>167713</v>
      </c>
      <c r="H25" s="11">
        <f>الجدول1[[#This Row],[O2]]/الجدول1[[#This Row],[N2]]</f>
        <v>0.2505709157906662</v>
      </c>
      <c r="I25" s="8">
        <v>34</v>
      </c>
      <c r="J25" s="8">
        <v>7064</v>
      </c>
      <c r="K25" s="8">
        <v>15</v>
      </c>
      <c r="L25" s="8">
        <v>3</v>
      </c>
      <c r="M25" s="12">
        <v>0</v>
      </c>
      <c r="N25" s="8">
        <v>2</v>
      </c>
      <c r="O25" s="8">
        <v>578</v>
      </c>
      <c r="P25" s="8" t="s">
        <v>13</v>
      </c>
      <c r="Q25" s="8" t="s">
        <v>90</v>
      </c>
      <c r="R25" s="8" t="s">
        <v>12</v>
      </c>
      <c r="S25" s="4" t="str">
        <f t="shared" si="1"/>
        <v>غير محدد</v>
      </c>
      <c r="T25" s="2" t="str" cm="1">
        <f t="array" ref="T25">IFERROR(MID(R25,MATCH(TRUE,ISNUMBER(1*MID(R25,ROW($1:$13),1)),0),COUNT(1*MID(R25,ROW($1:$13),1))),"غير محدد")</f>
        <v>غير محدد</v>
      </c>
      <c r="U25" s="13" t="s">
        <v>93</v>
      </c>
      <c r="V25" s="11">
        <f>الجدول1[[#This Row],[CO2]]/الجدول1[[#This Row],[CO]]</f>
        <v>12.221453287197232</v>
      </c>
      <c r="W25" s="11">
        <f>الجدول1[[#This Row],[C2H2]]/الجدول1[[#This Row],[C2H4]]</f>
        <v>0</v>
      </c>
      <c r="X25" s="11">
        <f>الجدول1[[#This Row],[C2H4]]/الجدول1[[#This Row],[C2H6]]</f>
        <v>5</v>
      </c>
      <c r="Y25" s="11">
        <f>الجدول1[[#This Row],[CH4]]/الجدول1[[#This Row],[H2]]</f>
        <v>5.8823529411764705E-2</v>
      </c>
      <c r="Z25" s="3" t="str">
        <f t="shared" ca="1" si="2"/>
        <v xml:space="preserve">0 </v>
      </c>
      <c r="AA25" s="1"/>
      <c r="AB25" s="1"/>
      <c r="AC25" s="1"/>
      <c r="AD25" s="1"/>
      <c r="AE25" s="1"/>
      <c r="AF25" s="1"/>
      <c r="AG25" s="1"/>
    </row>
    <row r="26" spans="1:33" ht="24.6" customHeight="1" x14ac:dyDescent="0.2">
      <c r="A26" s="5" t="s">
        <v>124</v>
      </c>
      <c r="B26" s="5" t="s">
        <v>38</v>
      </c>
      <c r="C26" s="6" t="s">
        <v>81</v>
      </c>
      <c r="D26" s="7">
        <v>45372</v>
      </c>
      <c r="E26" s="8" t="str">
        <f t="shared" ca="1" si="0"/>
        <v xml:space="preserve">8  m 25  D </v>
      </c>
      <c r="F26" s="8">
        <v>38910</v>
      </c>
      <c r="G26" s="8">
        <v>91221</v>
      </c>
      <c r="H26" s="11">
        <f>الجدول1[[#This Row],[O2]]/الجدول1[[#This Row],[N2]]</f>
        <v>0.42654651889367579</v>
      </c>
      <c r="I26" s="8">
        <v>13</v>
      </c>
      <c r="J26" s="8">
        <v>4676</v>
      </c>
      <c r="K26" s="8">
        <v>2</v>
      </c>
      <c r="L26" s="8">
        <v>5</v>
      </c>
      <c r="M26" s="12">
        <v>0</v>
      </c>
      <c r="N26" s="8">
        <v>2</v>
      </c>
      <c r="O26" s="8">
        <v>114</v>
      </c>
      <c r="P26" s="8" t="s">
        <v>13</v>
      </c>
      <c r="Q26" s="8" t="s">
        <v>90</v>
      </c>
      <c r="R26" s="8" t="s">
        <v>150</v>
      </c>
      <c r="S26" s="4">
        <f t="shared" si="1"/>
        <v>45556</v>
      </c>
      <c r="T26" s="2" t="str" cm="1">
        <f t="array" ref="T26">IFERROR(MID(R26,MATCH(TRUE,ISNUMBER(1*MID(R26,ROW($1:$13),1)),0),COUNT(1*MID(R26,ROW($1:$13),1))),"غير محدد")</f>
        <v>6</v>
      </c>
      <c r="U26" s="13" t="s">
        <v>93</v>
      </c>
      <c r="V26" s="11">
        <f>الجدول1[[#This Row],[CO2]]/الجدول1[[#This Row],[CO]]</f>
        <v>41.017543859649123</v>
      </c>
      <c r="W26" s="11">
        <f>الجدول1[[#This Row],[C2H2]]/الجدول1[[#This Row],[C2H4]]</f>
        <v>0</v>
      </c>
      <c r="X26" s="11">
        <f>الجدول1[[#This Row],[C2H4]]/الجدول1[[#This Row],[C2H6]]</f>
        <v>0.4</v>
      </c>
      <c r="Y26" s="11">
        <f>الجدول1[[#This Row],[CH4]]/الجدول1[[#This Row],[H2]]</f>
        <v>0.15384615384615385</v>
      </c>
      <c r="Z26" s="3" t="str">
        <f t="shared" ca="1" si="2"/>
        <v xml:space="preserve">25   </v>
      </c>
      <c r="AA26" s="1"/>
      <c r="AB26" s="1"/>
      <c r="AC26" s="1"/>
      <c r="AD26" s="1"/>
      <c r="AE26" s="1"/>
      <c r="AF26" s="1"/>
      <c r="AG26" s="1"/>
    </row>
    <row r="27" spans="1:33" ht="24.6" customHeight="1" x14ac:dyDescent="0.2">
      <c r="A27" s="5" t="s">
        <v>124</v>
      </c>
      <c r="B27" s="5" t="s">
        <v>39</v>
      </c>
      <c r="C27" s="6" t="s">
        <v>81</v>
      </c>
      <c r="D27" s="7">
        <v>45217</v>
      </c>
      <c r="E27" s="8" t="str">
        <f t="shared" ca="1" si="0"/>
        <v xml:space="preserve">1  m 28  D </v>
      </c>
      <c r="F27" s="8">
        <v>35643</v>
      </c>
      <c r="G27" s="8">
        <v>165997</v>
      </c>
      <c r="H27" s="11">
        <f>الجدول1[[#This Row],[O2]]/الجدول1[[#This Row],[N2]]</f>
        <v>0.21472074796532467</v>
      </c>
      <c r="I27" s="8">
        <v>27</v>
      </c>
      <c r="J27" s="8">
        <v>7291</v>
      </c>
      <c r="K27" s="8">
        <v>79</v>
      </c>
      <c r="L27" s="8">
        <v>5</v>
      </c>
      <c r="M27" s="12">
        <v>0</v>
      </c>
      <c r="N27" s="8">
        <v>1</v>
      </c>
      <c r="O27" s="8">
        <v>1126</v>
      </c>
      <c r="P27" s="8" t="s">
        <v>13</v>
      </c>
      <c r="Q27" s="8" t="s">
        <v>90</v>
      </c>
      <c r="R27" s="8" t="s">
        <v>12</v>
      </c>
      <c r="S27" s="4" t="str">
        <f t="shared" si="1"/>
        <v>غير محدد</v>
      </c>
      <c r="T27" s="2" t="str" cm="1">
        <f t="array" ref="T27">IFERROR(MID(R27,MATCH(TRUE,ISNUMBER(1*MID(R27,ROW($1:$13),1)),0),COUNT(1*MID(R27,ROW($1:$13),1))),"غير محدد")</f>
        <v>غير محدد</v>
      </c>
      <c r="U27" s="13" t="s">
        <v>93</v>
      </c>
      <c r="V27" s="11">
        <f>الجدول1[[#This Row],[CO2]]/الجدول1[[#This Row],[CO]]</f>
        <v>6.4751332149200707</v>
      </c>
      <c r="W27" s="11">
        <f>الجدول1[[#This Row],[C2H2]]/الجدول1[[#This Row],[C2H4]]</f>
        <v>0</v>
      </c>
      <c r="X27" s="11">
        <f>الجدول1[[#This Row],[C2H4]]/الجدول1[[#This Row],[C2H6]]</f>
        <v>15.8</v>
      </c>
      <c r="Y27" s="11">
        <f>الجدول1[[#This Row],[CH4]]/الجدول1[[#This Row],[H2]]</f>
        <v>3.7037037037037035E-2</v>
      </c>
      <c r="Z27" s="3" t="str">
        <f t="shared" ca="1" si="2"/>
        <v xml:space="preserve">0 </v>
      </c>
      <c r="AA27" s="1"/>
      <c r="AB27" s="1"/>
      <c r="AC27" s="1"/>
      <c r="AD27" s="1"/>
      <c r="AE27" s="1"/>
      <c r="AF27" s="1"/>
      <c r="AG27" s="1"/>
    </row>
    <row r="28" spans="1:33" ht="24.6" customHeight="1" x14ac:dyDescent="0.2">
      <c r="A28" s="5" t="s">
        <v>124</v>
      </c>
      <c r="B28" s="5" t="s">
        <v>39</v>
      </c>
      <c r="C28" s="6" t="s">
        <v>81</v>
      </c>
      <c r="D28" s="7">
        <v>45372</v>
      </c>
      <c r="E28" s="8" t="str">
        <f t="shared" ca="1" si="0"/>
        <v xml:space="preserve">8  m 25  D </v>
      </c>
      <c r="F28" s="8">
        <v>22828</v>
      </c>
      <c r="G28" s="8">
        <v>77970</v>
      </c>
      <c r="H28" s="11">
        <f>الجدول1[[#This Row],[O2]]/الجدول1[[#This Row],[N2]]</f>
        <v>0.29277927407977428</v>
      </c>
      <c r="I28" s="8">
        <v>7</v>
      </c>
      <c r="J28" s="8">
        <v>3315</v>
      </c>
      <c r="K28" s="8">
        <v>1</v>
      </c>
      <c r="L28" s="8">
        <v>4</v>
      </c>
      <c r="M28" s="12">
        <v>0</v>
      </c>
      <c r="N28" s="8">
        <v>1</v>
      </c>
      <c r="O28" s="8">
        <v>228</v>
      </c>
      <c r="P28" s="8" t="s">
        <v>10</v>
      </c>
      <c r="Q28" s="8" t="s">
        <v>90</v>
      </c>
      <c r="R28" s="8" t="s">
        <v>150</v>
      </c>
      <c r="S28" s="4">
        <f t="shared" si="1"/>
        <v>45556</v>
      </c>
      <c r="T28" s="2" t="str" cm="1">
        <f t="array" ref="T28">IFERROR(MID(R28,MATCH(TRUE,ISNUMBER(1*MID(R28,ROW($1:$13),1)),0),COUNT(1*MID(R28,ROW($1:$13),1))),"غير محدد")</f>
        <v>6</v>
      </c>
      <c r="U28" s="13" t="s">
        <v>93</v>
      </c>
      <c r="V28" s="11">
        <f>الجدول1[[#This Row],[CO2]]/الجدول1[[#This Row],[CO]]</f>
        <v>14.539473684210526</v>
      </c>
      <c r="W28" s="11">
        <f>الجدول1[[#This Row],[C2H2]]/الجدول1[[#This Row],[C2H4]]</f>
        <v>0</v>
      </c>
      <c r="X28" s="11">
        <f>الجدول1[[#This Row],[C2H4]]/الجدول1[[#This Row],[C2H6]]</f>
        <v>0.25</v>
      </c>
      <c r="Y28" s="11">
        <f>الجدول1[[#This Row],[CH4]]/الجدول1[[#This Row],[H2]]</f>
        <v>0.14285714285714285</v>
      </c>
      <c r="Z28" s="3" t="str">
        <f t="shared" ca="1" si="2"/>
        <v xml:space="preserve">25   </v>
      </c>
      <c r="AA28" s="1"/>
      <c r="AB28" s="1"/>
      <c r="AC28" s="1"/>
      <c r="AD28" s="1"/>
      <c r="AE28" s="1"/>
      <c r="AF28" s="1"/>
      <c r="AG28" s="1"/>
    </row>
    <row r="29" spans="1:33" ht="24.6" customHeight="1" x14ac:dyDescent="0.2">
      <c r="A29" s="5" t="s">
        <v>124</v>
      </c>
      <c r="B29" s="5" t="s">
        <v>39</v>
      </c>
      <c r="C29" s="6" t="s">
        <v>81</v>
      </c>
      <c r="D29" s="7">
        <v>45726</v>
      </c>
      <c r="E29" s="8" t="str">
        <f t="shared" ca="1" si="0"/>
        <v xml:space="preserve">9  m 6  D </v>
      </c>
      <c r="F29" s="8">
        <v>29065</v>
      </c>
      <c r="G29" s="8">
        <v>67315</v>
      </c>
      <c r="H29" s="11">
        <f>الجدول1[[#This Row],[O2]]/الجدول1[[#This Row],[N2]]</f>
        <v>0.43177597860803685</v>
      </c>
      <c r="I29" s="8">
        <v>13</v>
      </c>
      <c r="J29" s="8">
        <v>3025</v>
      </c>
      <c r="K29" s="8">
        <v>123</v>
      </c>
      <c r="L29" s="8">
        <v>55</v>
      </c>
      <c r="M29" s="12">
        <v>0</v>
      </c>
      <c r="N29" s="8">
        <v>2</v>
      </c>
      <c r="O29" s="8">
        <v>171</v>
      </c>
      <c r="P29" s="8" t="s">
        <v>13</v>
      </c>
      <c r="Q29" s="8" t="s">
        <v>90</v>
      </c>
      <c r="R29" s="8" t="s">
        <v>153</v>
      </c>
      <c r="S29" s="4">
        <f t="shared" si="1"/>
        <v>45818</v>
      </c>
      <c r="T29" s="2" t="str" cm="1">
        <f t="array" ref="T29">IFERROR(MID(R29,MATCH(TRUE,ISNUMBER(1*MID(R29,ROW($1:$13),1)),0),COUNT(1*MID(R29,ROW($1:$13),1))),"غير محدد")</f>
        <v>3</v>
      </c>
      <c r="U29" s="16" t="s">
        <v>57</v>
      </c>
      <c r="V29" s="11">
        <f>الجدول1[[#This Row],[CO2]]/الجدول1[[#This Row],[CO]]</f>
        <v>17.690058479532162</v>
      </c>
      <c r="W29" s="11">
        <f>الجدول1[[#This Row],[C2H2]]/الجدول1[[#This Row],[C2H4]]</f>
        <v>0</v>
      </c>
      <c r="X29" s="11">
        <f>الجدول1[[#This Row],[C2H4]]/الجدول1[[#This Row],[C2H6]]</f>
        <v>2.2363636363636363</v>
      </c>
      <c r="Y29" s="11">
        <f>الجدول1[[#This Row],[CH4]]/الجدول1[[#This Row],[H2]]</f>
        <v>0.15384615384615385</v>
      </c>
      <c r="Z29" s="3" t="str">
        <f t="shared" ca="1" si="2"/>
        <v xml:space="preserve">6   </v>
      </c>
      <c r="AA29" s="1"/>
      <c r="AB29" s="1"/>
      <c r="AC29" s="1"/>
      <c r="AD29" s="1"/>
      <c r="AE29" s="1"/>
      <c r="AF29" s="1"/>
      <c r="AG29" s="1"/>
    </row>
    <row r="30" spans="1:33" ht="24.6" customHeight="1" x14ac:dyDescent="0.2">
      <c r="A30" s="5" t="s">
        <v>124</v>
      </c>
      <c r="B30" s="5" t="s">
        <v>29</v>
      </c>
      <c r="C30" s="6" t="s">
        <v>81</v>
      </c>
      <c r="D30" s="7">
        <v>45372</v>
      </c>
      <c r="E30" s="8" t="str">
        <f t="shared" ca="1" si="0"/>
        <v xml:space="preserve">8  m 25  D </v>
      </c>
      <c r="F30" s="8">
        <v>30728</v>
      </c>
      <c r="G30" s="8">
        <v>69875</v>
      </c>
      <c r="H30" s="11">
        <f>الجدول1[[#This Row],[O2]]/الجدول1[[#This Row],[N2]]</f>
        <v>0.43975670840787118</v>
      </c>
      <c r="I30" s="8">
        <v>5</v>
      </c>
      <c r="J30" s="8">
        <v>2729</v>
      </c>
      <c r="K30" s="8">
        <v>2</v>
      </c>
      <c r="L30" s="8">
        <v>2</v>
      </c>
      <c r="M30" s="12">
        <v>0</v>
      </c>
      <c r="N30" s="8">
        <v>1</v>
      </c>
      <c r="O30" s="8">
        <v>122</v>
      </c>
      <c r="P30" s="8" t="s">
        <v>10</v>
      </c>
      <c r="Q30" s="8" t="s">
        <v>90</v>
      </c>
      <c r="R30" s="8" t="s">
        <v>150</v>
      </c>
      <c r="S30" s="4">
        <f t="shared" si="1"/>
        <v>45556</v>
      </c>
      <c r="T30" s="2" t="str" cm="1">
        <f t="array" ref="T30">IFERROR(MID(R30,MATCH(TRUE,ISNUMBER(1*MID(R30,ROW($1:$13),1)),0),COUNT(1*MID(R30,ROW($1:$13),1))),"غير محدد")</f>
        <v>6</v>
      </c>
      <c r="U30" s="13" t="s">
        <v>93</v>
      </c>
      <c r="V30" s="11">
        <f>الجدول1[[#This Row],[CO2]]/الجدول1[[#This Row],[CO]]</f>
        <v>22.368852459016395</v>
      </c>
      <c r="W30" s="11">
        <f>الجدول1[[#This Row],[C2H2]]/الجدول1[[#This Row],[C2H4]]</f>
        <v>0</v>
      </c>
      <c r="X30" s="11">
        <f>الجدول1[[#This Row],[C2H4]]/الجدول1[[#This Row],[C2H6]]</f>
        <v>1</v>
      </c>
      <c r="Y30" s="11">
        <f>الجدول1[[#This Row],[CH4]]/الجدول1[[#This Row],[H2]]</f>
        <v>0.2</v>
      </c>
      <c r="Z30" s="3" t="str">
        <f t="shared" ca="1" si="2"/>
        <v xml:space="preserve">25   </v>
      </c>
      <c r="AA30" s="1"/>
      <c r="AB30" s="1"/>
      <c r="AC30" s="1"/>
      <c r="AD30" s="1"/>
      <c r="AE30" s="1"/>
      <c r="AF30" s="1"/>
      <c r="AG30" s="1"/>
    </row>
    <row r="31" spans="1:33" ht="24.6" customHeight="1" x14ac:dyDescent="0.2">
      <c r="A31" s="5" t="s">
        <v>124</v>
      </c>
      <c r="B31" s="5" t="s">
        <v>29</v>
      </c>
      <c r="C31" s="6" t="s">
        <v>81</v>
      </c>
      <c r="D31" s="7">
        <v>45580</v>
      </c>
      <c r="E31" s="8" t="str">
        <f t="shared" ca="1" si="0"/>
        <v xml:space="preserve">2  m 1  D </v>
      </c>
      <c r="F31" s="8">
        <v>20671</v>
      </c>
      <c r="G31" s="8">
        <v>77501</v>
      </c>
      <c r="H31" s="11">
        <f>الجدول1[[#This Row],[O2]]/الجدول1[[#This Row],[N2]]</f>
        <v>0.26671913910788247</v>
      </c>
      <c r="I31" s="8">
        <v>12</v>
      </c>
      <c r="J31" s="8">
        <v>4081</v>
      </c>
      <c r="K31" s="8">
        <v>4</v>
      </c>
      <c r="L31" s="8">
        <v>5</v>
      </c>
      <c r="M31" s="12">
        <v>0</v>
      </c>
      <c r="N31" s="8">
        <v>1</v>
      </c>
      <c r="O31" s="8">
        <v>292</v>
      </c>
      <c r="P31" s="8" t="s">
        <v>13</v>
      </c>
      <c r="Q31" s="8" t="s">
        <v>90</v>
      </c>
      <c r="R31" s="8" t="s">
        <v>153</v>
      </c>
      <c r="S31" s="4">
        <f t="shared" si="1"/>
        <v>45672</v>
      </c>
      <c r="T31" s="2" t="str" cm="1">
        <f t="array" ref="T31">IFERROR(MID(R31,MATCH(TRUE,ISNUMBER(1*MID(R31,ROW($1:$13),1)),0),COUNT(1*MID(R31,ROW($1:$13),1))),"غير محدد")</f>
        <v>3</v>
      </c>
      <c r="U31" s="13" t="s">
        <v>93</v>
      </c>
      <c r="V31" s="11">
        <f>الجدول1[[#This Row],[CO2]]/الجدول1[[#This Row],[CO]]</f>
        <v>13.976027397260275</v>
      </c>
      <c r="W31" s="11">
        <f>الجدول1[[#This Row],[C2H2]]/الجدول1[[#This Row],[C2H4]]</f>
        <v>0</v>
      </c>
      <c r="X31" s="11">
        <f>الجدول1[[#This Row],[C2H4]]/الجدول1[[#This Row],[C2H6]]</f>
        <v>0.8</v>
      </c>
      <c r="Y31" s="11">
        <f>الجدول1[[#This Row],[CH4]]/الجدول1[[#This Row],[H2]]</f>
        <v>8.3333333333333329E-2</v>
      </c>
      <c r="Z31" s="3" t="str">
        <f t="shared" ca="1" si="2"/>
        <v xml:space="preserve">1   </v>
      </c>
      <c r="AA31" s="1"/>
      <c r="AB31" s="1"/>
      <c r="AC31" s="1"/>
      <c r="AD31" s="1"/>
      <c r="AE31" s="1"/>
      <c r="AF31" s="1"/>
      <c r="AG31" s="1"/>
    </row>
    <row r="32" spans="1:33" ht="24.6" customHeight="1" x14ac:dyDescent="0.2">
      <c r="A32" s="5" t="s">
        <v>124</v>
      </c>
      <c r="B32" s="5" t="s">
        <v>29</v>
      </c>
      <c r="C32" s="6" t="s">
        <v>81</v>
      </c>
      <c r="D32" s="7">
        <v>45726</v>
      </c>
      <c r="E32" s="8" t="str">
        <f t="shared" ca="1" si="0"/>
        <v xml:space="preserve">9  m 6  D </v>
      </c>
      <c r="F32" s="8">
        <v>21747</v>
      </c>
      <c r="G32" s="8">
        <v>70093</v>
      </c>
      <c r="H32" s="11">
        <f>الجدول1[[#This Row],[O2]]/الجدول1[[#This Row],[N2]]</f>
        <v>0.31025922702694991</v>
      </c>
      <c r="I32" s="8">
        <v>5</v>
      </c>
      <c r="J32" s="8">
        <v>3018</v>
      </c>
      <c r="K32" s="8">
        <v>6</v>
      </c>
      <c r="L32" s="8">
        <v>4</v>
      </c>
      <c r="M32" s="12">
        <v>0</v>
      </c>
      <c r="N32" s="8">
        <v>1</v>
      </c>
      <c r="O32" s="8">
        <v>188</v>
      </c>
      <c r="P32" s="8" t="s">
        <v>13</v>
      </c>
      <c r="Q32" s="8" t="s">
        <v>90</v>
      </c>
      <c r="R32" s="8" t="s">
        <v>150</v>
      </c>
      <c r="S32" s="4">
        <f t="shared" si="1"/>
        <v>45910</v>
      </c>
      <c r="T32" s="2" t="str" cm="1">
        <f t="array" ref="T32">IFERROR(MID(R32,MATCH(TRUE,ISNUMBER(1*MID(R32,ROW($1:$13),1)),0),COUNT(1*MID(R32,ROW($1:$13),1))),"غير محدد")</f>
        <v>6</v>
      </c>
      <c r="U32" s="16" t="s">
        <v>57</v>
      </c>
      <c r="V32" s="11">
        <f>الجدول1[[#This Row],[CO2]]/الجدول1[[#This Row],[CO]]</f>
        <v>16.053191489361701</v>
      </c>
      <c r="W32" s="11">
        <f>الجدول1[[#This Row],[C2H2]]/الجدول1[[#This Row],[C2H4]]</f>
        <v>0</v>
      </c>
      <c r="X32" s="11">
        <f>الجدول1[[#This Row],[C2H4]]/الجدول1[[#This Row],[C2H6]]</f>
        <v>1.5</v>
      </c>
      <c r="Y32" s="11">
        <f>الجدول1[[#This Row],[CH4]]/الجدول1[[#This Row],[H2]]</f>
        <v>0.2</v>
      </c>
      <c r="Z32" s="3" t="str">
        <f t="shared" ca="1" si="2"/>
        <v xml:space="preserve">6   </v>
      </c>
      <c r="AA32" s="1"/>
      <c r="AB32" s="1"/>
      <c r="AC32" s="1"/>
      <c r="AD32" s="1"/>
      <c r="AE32" s="1"/>
      <c r="AF32" s="1"/>
      <c r="AG32" s="1"/>
    </row>
    <row r="33" spans="1:33" ht="24.6" customHeight="1" x14ac:dyDescent="0.2">
      <c r="A33" s="5" t="s">
        <v>170</v>
      </c>
      <c r="B33" s="5" t="s">
        <v>18</v>
      </c>
      <c r="C33" s="6" t="s">
        <v>169</v>
      </c>
      <c r="D33" s="7">
        <v>45412</v>
      </c>
      <c r="E33" s="8" t="str">
        <f t="shared" ca="1" si="0"/>
        <v xml:space="preserve">7  m 16  D </v>
      </c>
      <c r="F33" s="8">
        <v>23107</v>
      </c>
      <c r="G33" s="8">
        <v>61245</v>
      </c>
      <c r="H33" s="11">
        <f>الجدول1[[#This Row],[O2]]/الجدول1[[#This Row],[N2]]</f>
        <v>0.37728794187280595</v>
      </c>
      <c r="I33" s="8">
        <v>29</v>
      </c>
      <c r="J33" s="8">
        <v>3712</v>
      </c>
      <c r="K33" s="8">
        <v>4</v>
      </c>
      <c r="L33" s="8">
        <v>16</v>
      </c>
      <c r="M33" s="12">
        <v>0</v>
      </c>
      <c r="N33" s="8">
        <v>2</v>
      </c>
      <c r="O33" s="8">
        <v>202</v>
      </c>
      <c r="P33" s="8" t="s">
        <v>10</v>
      </c>
      <c r="Q33" s="8" t="s">
        <v>90</v>
      </c>
      <c r="R33" s="15" t="s">
        <v>150</v>
      </c>
      <c r="S33" s="4">
        <f t="shared" si="1"/>
        <v>45595</v>
      </c>
      <c r="T33" s="2" t="str" cm="1">
        <f t="array" ref="T33">IFERROR(MID(R33,MATCH(TRUE,ISNUMBER(1*MID(R33,ROW($1:$13),1)),0),COUNT(1*MID(R33,ROW($1:$13),1))),"غير محدد")</f>
        <v>6</v>
      </c>
      <c r="U33" s="8" t="s">
        <v>57</v>
      </c>
      <c r="V33" s="11">
        <f>الجدول1[[#This Row],[CO2]]/الجدول1[[#This Row],[CO]]</f>
        <v>18.376237623762375</v>
      </c>
      <c r="W33" s="11">
        <f>الجدول1[[#This Row],[C2H2]]/الجدول1[[#This Row],[C2H4]]</f>
        <v>0</v>
      </c>
      <c r="X33" s="11">
        <f>الجدول1[[#This Row],[C2H4]]/الجدول1[[#This Row],[C2H6]]</f>
        <v>0.25</v>
      </c>
      <c r="Y33" s="17">
        <f>الجدول1[[#This Row],[CH4]]/الجدول1[[#This Row],[H2]]</f>
        <v>6.8965517241379309E-2</v>
      </c>
      <c r="Z33" s="3" t="str">
        <f t="shared" ca="1" si="2"/>
        <v xml:space="preserve">16   </v>
      </c>
      <c r="AA33" s="1"/>
      <c r="AB33" s="1"/>
      <c r="AC33" s="1"/>
      <c r="AD33" s="1"/>
      <c r="AE33" s="1"/>
      <c r="AF33" s="1"/>
      <c r="AG33" s="1"/>
    </row>
    <row r="34" spans="1:33" ht="24.6" customHeight="1" x14ac:dyDescent="0.2">
      <c r="A34" s="5" t="s">
        <v>126</v>
      </c>
      <c r="B34" s="5" t="s">
        <v>15</v>
      </c>
      <c r="C34" s="6" t="s">
        <v>81</v>
      </c>
      <c r="D34" s="7">
        <v>45217</v>
      </c>
      <c r="E34" s="8" t="str">
        <f t="shared" ca="1" si="0"/>
        <v xml:space="preserve">1  m 28  D </v>
      </c>
      <c r="F34" s="8">
        <v>5077</v>
      </c>
      <c r="G34" s="8">
        <v>150543</v>
      </c>
      <c r="H34" s="11">
        <f>الجدول1[[#This Row],[O2]]/الجدول1[[#This Row],[N2]]</f>
        <v>3.3724583673767627E-2</v>
      </c>
      <c r="I34" s="8">
        <v>20</v>
      </c>
      <c r="J34" s="8">
        <v>6173</v>
      </c>
      <c r="K34" s="8">
        <v>66</v>
      </c>
      <c r="L34" s="8">
        <v>13</v>
      </c>
      <c r="M34" s="12">
        <v>0</v>
      </c>
      <c r="N34" s="8">
        <v>2</v>
      </c>
      <c r="O34" s="8">
        <v>467</v>
      </c>
      <c r="P34" s="8" t="s">
        <v>10</v>
      </c>
      <c r="Q34" s="8" t="s">
        <v>96</v>
      </c>
      <c r="R34" s="8" t="s">
        <v>12</v>
      </c>
      <c r="S34" s="4" t="str">
        <f t="shared" ref="S34:S65" si="3">IFERROR(IF(T34&gt;=1,EDATE(D34,T34),"غير محدد"),"غير محدد")</f>
        <v>غير محدد</v>
      </c>
      <c r="T34" s="2" t="str" cm="1">
        <f t="array" ref="T34">IFERROR(MID(R34,MATCH(TRUE,ISNUMBER(1*MID(R34,ROW($1:$13),1)),0),COUNT(1*MID(R34,ROW($1:$13),1))),"غير محدد")</f>
        <v>غير محدد</v>
      </c>
      <c r="U34" s="13" t="s">
        <v>93</v>
      </c>
      <c r="V34" s="11">
        <f>الجدول1[[#This Row],[CO2]]/الجدول1[[#This Row],[CO]]</f>
        <v>13.218415417558887</v>
      </c>
      <c r="W34" s="11">
        <f>الجدول1[[#This Row],[C2H2]]/الجدول1[[#This Row],[C2H4]]</f>
        <v>0</v>
      </c>
      <c r="X34" s="11">
        <f>الجدول1[[#This Row],[C2H4]]/الجدول1[[#This Row],[C2H6]]</f>
        <v>5.0769230769230766</v>
      </c>
      <c r="Y34" s="11">
        <f>الجدول1[[#This Row],[CH4]]/الجدول1[[#This Row],[H2]]</f>
        <v>0.1</v>
      </c>
      <c r="Z34" s="3" t="str">
        <f t="shared" ref="Z34:Z65" ca="1" si="4">IFERROR(DATEDIF(S34,TODAY(),"MD") &amp; "   ","0 ")</f>
        <v xml:space="preserve">0 </v>
      </c>
      <c r="AA34" s="1"/>
      <c r="AB34" s="1"/>
      <c r="AC34" s="1"/>
      <c r="AD34" s="1"/>
      <c r="AE34" s="1"/>
      <c r="AF34" s="1"/>
      <c r="AG34" s="1"/>
    </row>
    <row r="35" spans="1:33" ht="24.6" customHeight="1" x14ac:dyDescent="0.2">
      <c r="A35" s="5" t="s">
        <v>126</v>
      </c>
      <c r="B35" s="5" t="s">
        <v>15</v>
      </c>
      <c r="C35" s="6" t="s">
        <v>81</v>
      </c>
      <c r="D35" s="7">
        <v>45372</v>
      </c>
      <c r="E35" s="8" t="str">
        <f t="shared" ca="1" si="0"/>
        <v xml:space="preserve">8  m 25  D </v>
      </c>
      <c r="F35" s="8">
        <v>19749</v>
      </c>
      <c r="G35" s="8">
        <v>80176</v>
      </c>
      <c r="H35" s="11">
        <f>الجدول1[[#This Row],[O2]]/الجدول1[[#This Row],[N2]]</f>
        <v>0.2463205946916783</v>
      </c>
      <c r="I35" s="8">
        <v>6</v>
      </c>
      <c r="J35" s="8">
        <v>3210</v>
      </c>
      <c r="K35" s="8">
        <v>2</v>
      </c>
      <c r="L35" s="8">
        <v>2</v>
      </c>
      <c r="M35" s="12">
        <v>0</v>
      </c>
      <c r="N35" s="8">
        <v>2</v>
      </c>
      <c r="O35" s="8">
        <v>163</v>
      </c>
      <c r="P35" s="8" t="s">
        <v>10</v>
      </c>
      <c r="Q35" s="8" t="s">
        <v>90</v>
      </c>
      <c r="R35" s="8" t="s">
        <v>150</v>
      </c>
      <c r="S35" s="4">
        <f t="shared" si="3"/>
        <v>45556</v>
      </c>
      <c r="T35" s="2" t="str" cm="1">
        <f t="array" ref="T35">IFERROR(MID(R35,MATCH(TRUE,ISNUMBER(1*MID(R35,ROW($1:$13),1)),0),COUNT(1*MID(R35,ROW($1:$13),1))),"غير محدد")</f>
        <v>6</v>
      </c>
      <c r="U35" s="16" t="s">
        <v>57</v>
      </c>
      <c r="V35" s="11">
        <f>الجدول1[[#This Row],[CO2]]/الجدول1[[#This Row],[CO]]</f>
        <v>19.69325153374233</v>
      </c>
      <c r="W35" s="11">
        <f>الجدول1[[#This Row],[C2H2]]/الجدول1[[#This Row],[C2H4]]</f>
        <v>0</v>
      </c>
      <c r="X35" s="11">
        <f>الجدول1[[#This Row],[C2H4]]/الجدول1[[#This Row],[C2H6]]</f>
        <v>1</v>
      </c>
      <c r="Y35" s="11">
        <f>الجدول1[[#This Row],[CH4]]/الجدول1[[#This Row],[H2]]</f>
        <v>0.33333333333333331</v>
      </c>
      <c r="Z35" s="3" t="str">
        <f t="shared" ca="1" si="4"/>
        <v xml:space="preserve">25   </v>
      </c>
      <c r="AA35" s="1"/>
      <c r="AB35" s="1"/>
      <c r="AC35" s="1"/>
      <c r="AD35" s="1"/>
      <c r="AE35" s="1"/>
      <c r="AF35" s="1"/>
      <c r="AG35" s="1"/>
    </row>
    <row r="36" spans="1:33" s="14" customFormat="1" ht="24.6" customHeight="1" x14ac:dyDescent="0.2">
      <c r="A36" s="5" t="s">
        <v>126</v>
      </c>
      <c r="B36" s="5" t="s">
        <v>24</v>
      </c>
      <c r="C36" s="6" t="s">
        <v>81</v>
      </c>
      <c r="D36" s="7">
        <v>45372</v>
      </c>
      <c r="E36" s="8" t="str">
        <f t="shared" ca="1" si="0"/>
        <v xml:space="preserve">8  m 25  D </v>
      </c>
      <c r="F36" s="8">
        <v>20672</v>
      </c>
      <c r="G36" s="8">
        <v>80642</v>
      </c>
      <c r="H36" s="11">
        <f>الجدول1[[#This Row],[O2]]/الجدول1[[#This Row],[N2]]</f>
        <v>0.25634284863966667</v>
      </c>
      <c r="I36" s="8">
        <v>20</v>
      </c>
      <c r="J36" s="8">
        <v>4664</v>
      </c>
      <c r="K36" s="8">
        <v>1</v>
      </c>
      <c r="L36" s="8">
        <v>2</v>
      </c>
      <c r="M36" s="12">
        <v>0</v>
      </c>
      <c r="N36" s="8">
        <v>1</v>
      </c>
      <c r="O36" s="8">
        <v>216</v>
      </c>
      <c r="P36" s="8" t="s">
        <v>10</v>
      </c>
      <c r="Q36" s="8" t="s">
        <v>90</v>
      </c>
      <c r="R36" s="8" t="s">
        <v>150</v>
      </c>
      <c r="S36" s="4">
        <f t="shared" si="3"/>
        <v>45556</v>
      </c>
      <c r="T36" s="2" t="str" cm="1">
        <f t="array" ref="T36">IFERROR(MID(R36,MATCH(TRUE,ISNUMBER(1*MID(R36,ROW($1:$13),1)),0),COUNT(1*MID(R36,ROW($1:$13),1))),"غير محدد")</f>
        <v>6</v>
      </c>
      <c r="U36" s="16" t="s">
        <v>57</v>
      </c>
      <c r="V36" s="11">
        <f>الجدول1[[#This Row],[CO2]]/الجدول1[[#This Row],[CO]]</f>
        <v>21.592592592592592</v>
      </c>
      <c r="W36" s="11">
        <f>الجدول1[[#This Row],[C2H2]]/الجدول1[[#This Row],[C2H4]]</f>
        <v>0</v>
      </c>
      <c r="X36" s="11">
        <f>الجدول1[[#This Row],[C2H4]]/الجدول1[[#This Row],[C2H6]]</f>
        <v>0.5</v>
      </c>
      <c r="Y36" s="11">
        <f>الجدول1[[#This Row],[CH4]]/الجدول1[[#This Row],[H2]]</f>
        <v>0.05</v>
      </c>
      <c r="Z36" s="3" t="str">
        <f t="shared" ca="1" si="4"/>
        <v xml:space="preserve">25   </v>
      </c>
    </row>
    <row r="37" spans="1:33" s="14" customFormat="1" ht="24.6" customHeight="1" x14ac:dyDescent="0.2">
      <c r="A37" s="5" t="s">
        <v>26</v>
      </c>
      <c r="B37" s="5" t="s">
        <v>15</v>
      </c>
      <c r="C37" s="6" t="s">
        <v>27</v>
      </c>
      <c r="D37" s="7">
        <v>44901</v>
      </c>
      <c r="E37" s="8" t="str">
        <f t="shared" ca="1" si="0"/>
        <v xml:space="preserve">0  m 10  D </v>
      </c>
      <c r="F37" s="8">
        <v>11661</v>
      </c>
      <c r="G37" s="8">
        <v>75456</v>
      </c>
      <c r="H37" s="11">
        <f>الجدول1[[#This Row],[O2]]/الجدول1[[#This Row],[N2]]</f>
        <v>0.15454039440203562</v>
      </c>
      <c r="I37" s="8">
        <v>103</v>
      </c>
      <c r="J37" s="8">
        <v>1535</v>
      </c>
      <c r="K37" s="8">
        <v>143</v>
      </c>
      <c r="L37" s="8">
        <v>7</v>
      </c>
      <c r="M37" s="12">
        <v>0</v>
      </c>
      <c r="N37" s="8">
        <v>6</v>
      </c>
      <c r="O37" s="8">
        <v>577</v>
      </c>
      <c r="P37" s="8" t="s">
        <v>13</v>
      </c>
      <c r="Q37" s="8">
        <v>2</v>
      </c>
      <c r="R37" s="15" t="s">
        <v>12</v>
      </c>
      <c r="S37" s="4" t="str">
        <f t="shared" si="3"/>
        <v>غير محدد</v>
      </c>
      <c r="T37" s="2" t="str" cm="1">
        <f t="array" ref="T37">IFERROR(MID(R37,MATCH(TRUE,ISNUMBER(1*MID(R37,ROW($1:$13),1)),0),COUNT(1*MID(R37,ROW($1:$13),1))),"غير محدد")</f>
        <v>غير محدد</v>
      </c>
      <c r="U37" s="13" t="s">
        <v>93</v>
      </c>
      <c r="V37" s="11">
        <f>الجدول1[[#This Row],[CO2]]/الجدول1[[#This Row],[CO]]</f>
        <v>2.6603119584055461</v>
      </c>
      <c r="W37" s="11">
        <f>الجدول1[[#This Row],[C2H2]]/الجدول1[[#This Row],[C2H4]]</f>
        <v>0</v>
      </c>
      <c r="X37" s="11">
        <f>الجدول1[[#This Row],[C2H4]]/الجدول1[[#This Row],[C2H6]]</f>
        <v>20.428571428571427</v>
      </c>
      <c r="Y37" s="17">
        <f>الجدول1[[#This Row],[CH4]]/الجدول1[[#This Row],[H2]]</f>
        <v>5.8252427184466021E-2</v>
      </c>
      <c r="Z37" s="3" t="str">
        <f t="shared" ca="1" si="4"/>
        <v xml:space="preserve">0 </v>
      </c>
    </row>
    <row r="38" spans="1:33" ht="24.6" customHeight="1" x14ac:dyDescent="0.2">
      <c r="A38" s="5" t="s">
        <v>26</v>
      </c>
      <c r="B38" s="5" t="s">
        <v>15</v>
      </c>
      <c r="C38" s="6" t="s">
        <v>27</v>
      </c>
      <c r="D38" s="7">
        <v>44949</v>
      </c>
      <c r="E38" s="8" t="str">
        <f t="shared" ca="1" si="0"/>
        <v xml:space="preserve">10  m 23  D </v>
      </c>
      <c r="F38" s="8">
        <v>16757</v>
      </c>
      <c r="G38" s="8">
        <v>47755</v>
      </c>
      <c r="H38" s="11">
        <f>الجدول1[[#This Row],[O2]]/الجدول1[[#This Row],[N2]]</f>
        <v>0.35089519422050047</v>
      </c>
      <c r="I38" s="8">
        <v>103</v>
      </c>
      <c r="J38" s="8">
        <v>719</v>
      </c>
      <c r="K38" s="8">
        <v>4</v>
      </c>
      <c r="L38" s="8">
        <v>3</v>
      </c>
      <c r="M38" s="12">
        <v>1</v>
      </c>
      <c r="N38" s="8">
        <v>1</v>
      </c>
      <c r="O38" s="8">
        <v>235</v>
      </c>
      <c r="P38" s="8" t="s">
        <v>21</v>
      </c>
      <c r="Q38" s="8">
        <v>1</v>
      </c>
      <c r="R38" s="15" t="s">
        <v>22</v>
      </c>
      <c r="S38" s="4" t="str">
        <f t="shared" si="3"/>
        <v>غير محدد</v>
      </c>
      <c r="T38" s="2" t="str" cm="1">
        <f t="array" ref="T38">IFERROR(MID(R38,MATCH(TRUE,ISNUMBER(1*MID(R38,ROW($1:$13),1)),0),COUNT(1*MID(R38,ROW($1:$13),1))),"غير محدد")</f>
        <v>غير محدد</v>
      </c>
      <c r="U38" s="13" t="s">
        <v>93</v>
      </c>
      <c r="V38" s="11">
        <f>الجدول1[[#This Row],[CO2]]/الجدول1[[#This Row],[CO]]</f>
        <v>3.0595744680851062</v>
      </c>
      <c r="W38" s="11">
        <f>الجدول1[[#This Row],[C2H2]]/الجدول1[[#This Row],[C2H4]]</f>
        <v>0.25</v>
      </c>
      <c r="X38" s="11">
        <f>الجدول1[[#This Row],[C2H4]]/الجدول1[[#This Row],[C2H6]]</f>
        <v>1.3333333333333333</v>
      </c>
      <c r="Y38" s="17">
        <f>الجدول1[[#This Row],[CH4]]/الجدول1[[#This Row],[H2]]</f>
        <v>9.7087378640776691E-3</v>
      </c>
      <c r="Z38" s="3" t="str">
        <f t="shared" ca="1" si="4"/>
        <v xml:space="preserve">0 </v>
      </c>
      <c r="AA38" s="1"/>
      <c r="AB38" s="1"/>
      <c r="AC38" s="1"/>
      <c r="AD38" s="1"/>
      <c r="AE38" s="1"/>
      <c r="AF38" s="1"/>
      <c r="AG38" s="1"/>
    </row>
    <row r="39" spans="1:33" ht="24.6" customHeight="1" x14ac:dyDescent="0.2">
      <c r="A39" s="5" t="s">
        <v>26</v>
      </c>
      <c r="B39" s="5" t="s">
        <v>15</v>
      </c>
      <c r="C39" s="6" t="s">
        <v>27</v>
      </c>
      <c r="D39" s="7">
        <v>45266</v>
      </c>
      <c r="E39" s="8" t="str">
        <f t="shared" ca="1" si="0"/>
        <v xml:space="preserve">0  m 10  D </v>
      </c>
      <c r="F39" s="8">
        <v>8556</v>
      </c>
      <c r="G39" s="8">
        <v>75883</v>
      </c>
      <c r="H39" s="11">
        <f>الجدول1[[#This Row],[O2]]/الجدول1[[#This Row],[N2]]</f>
        <v>0.11275252691643714</v>
      </c>
      <c r="I39" s="8">
        <v>121</v>
      </c>
      <c r="J39" s="8">
        <v>3715</v>
      </c>
      <c r="K39" s="8">
        <v>2</v>
      </c>
      <c r="L39" s="8">
        <v>15</v>
      </c>
      <c r="M39" s="12">
        <v>0</v>
      </c>
      <c r="N39" s="8">
        <v>1</v>
      </c>
      <c r="O39" s="8">
        <v>403</v>
      </c>
      <c r="P39" s="8" t="s">
        <v>13</v>
      </c>
      <c r="Q39" s="8" t="s">
        <v>90</v>
      </c>
      <c r="R39" s="15" t="s">
        <v>12</v>
      </c>
      <c r="S39" s="4" t="str">
        <f t="shared" si="3"/>
        <v>غير محدد</v>
      </c>
      <c r="T39" s="2" t="str" cm="1">
        <f t="array" ref="T39">IFERROR(MID(R39,MATCH(TRUE,ISNUMBER(1*MID(R39,ROW($1:$13),1)),0),COUNT(1*MID(R39,ROW($1:$13),1))),"غير محدد")</f>
        <v>غير محدد</v>
      </c>
      <c r="U39" s="16" t="s">
        <v>57</v>
      </c>
      <c r="V39" s="11">
        <f>الجدول1[[#This Row],[CO2]]/الجدول1[[#This Row],[CO]]</f>
        <v>9.2183622828784113</v>
      </c>
      <c r="W39" s="11">
        <f>الجدول1[[#This Row],[C2H2]]/الجدول1[[#This Row],[C2H4]]</f>
        <v>0</v>
      </c>
      <c r="X39" s="11">
        <f>الجدول1[[#This Row],[C2H4]]/الجدول1[[#This Row],[C2H6]]</f>
        <v>0.13333333333333333</v>
      </c>
      <c r="Y39" s="17">
        <f>الجدول1[[#This Row],[CH4]]/الجدول1[[#This Row],[H2]]</f>
        <v>8.2644628099173556E-3</v>
      </c>
      <c r="Z39" s="3" t="str">
        <f t="shared" ca="1" si="4"/>
        <v xml:space="preserve">0 </v>
      </c>
      <c r="AA39" s="1"/>
      <c r="AB39" s="1"/>
      <c r="AC39" s="1"/>
      <c r="AD39" s="1"/>
      <c r="AE39" s="1"/>
      <c r="AF39" s="1"/>
      <c r="AG39" s="1"/>
    </row>
    <row r="40" spans="1:33" ht="24.6" customHeight="1" x14ac:dyDescent="0.2">
      <c r="A40" s="5" t="s">
        <v>26</v>
      </c>
      <c r="B40" s="5" t="s">
        <v>24</v>
      </c>
      <c r="C40" s="6" t="s">
        <v>27</v>
      </c>
      <c r="D40" s="7">
        <v>45587</v>
      </c>
      <c r="E40" s="8" t="str">
        <f t="shared" ca="1" si="0"/>
        <v xml:space="preserve">1  m 24  D </v>
      </c>
      <c r="F40" s="8">
        <v>8249</v>
      </c>
      <c r="G40" s="8">
        <v>72378</v>
      </c>
      <c r="H40" s="11">
        <f>الجدول1[[#This Row],[O2]]/الجدول1[[#This Row],[N2]]</f>
        <v>0.11397109618944984</v>
      </c>
      <c r="I40" s="8">
        <v>85</v>
      </c>
      <c r="J40" s="8">
        <v>3970</v>
      </c>
      <c r="K40" s="8">
        <v>16</v>
      </c>
      <c r="L40" s="8">
        <v>38</v>
      </c>
      <c r="M40" s="12">
        <v>0</v>
      </c>
      <c r="N40" s="8">
        <v>2</v>
      </c>
      <c r="O40" s="8">
        <v>336</v>
      </c>
      <c r="P40" s="8" t="s">
        <v>13</v>
      </c>
      <c r="Q40" s="8" t="s">
        <v>90</v>
      </c>
      <c r="R40" s="15" t="s">
        <v>151</v>
      </c>
      <c r="S40" s="4">
        <f t="shared" si="3"/>
        <v>45618</v>
      </c>
      <c r="T40" s="2" t="str" cm="1">
        <f t="array" ref="T40">IFERROR(MID(R40,MATCH(TRUE,ISNUMBER(1*MID(R40,ROW($1:$13),1)),0),COUNT(1*MID(R40,ROW($1:$13),1))),"غير محدد")</f>
        <v>1</v>
      </c>
      <c r="U40" s="16" t="s">
        <v>57</v>
      </c>
      <c r="V40" s="11">
        <f>الجدول1[[#This Row],[CO2]]/الجدول1[[#This Row],[CO]]</f>
        <v>11.81547619047619</v>
      </c>
      <c r="W40" s="11">
        <f>الجدول1[[#This Row],[C2H2]]/الجدول1[[#This Row],[C2H4]]</f>
        <v>0</v>
      </c>
      <c r="X40" s="11">
        <f>الجدول1[[#This Row],[C2H4]]/الجدول1[[#This Row],[C2H6]]</f>
        <v>0.42105263157894735</v>
      </c>
      <c r="Y40" s="17">
        <f>الجدول1[[#This Row],[CH4]]/الجدول1[[#This Row],[H2]]</f>
        <v>2.3529411764705882E-2</v>
      </c>
      <c r="Z40" s="3" t="str">
        <f t="shared" ca="1" si="4"/>
        <v xml:space="preserve">24   </v>
      </c>
      <c r="AA40" s="1"/>
      <c r="AB40" s="1"/>
      <c r="AC40" s="1"/>
      <c r="AD40" s="1"/>
      <c r="AE40" s="1"/>
      <c r="AF40" s="1"/>
      <c r="AG40" s="1"/>
    </row>
    <row r="41" spans="1:33" ht="24.6" customHeight="1" x14ac:dyDescent="0.2">
      <c r="A41" s="5" t="s">
        <v>26</v>
      </c>
      <c r="B41" s="5" t="s">
        <v>39</v>
      </c>
      <c r="C41" s="6" t="s">
        <v>27</v>
      </c>
      <c r="D41" s="7">
        <v>45266</v>
      </c>
      <c r="E41" s="8" t="str">
        <f t="shared" ca="1" si="0"/>
        <v xml:space="preserve">0  m 10  D </v>
      </c>
      <c r="F41" s="8">
        <v>29081</v>
      </c>
      <c r="G41" s="8">
        <v>82175</v>
      </c>
      <c r="H41" s="11">
        <f>الجدول1[[#This Row],[O2]]/الجدول1[[#This Row],[N2]]</f>
        <v>0.35389108609674474</v>
      </c>
      <c r="I41" s="8">
        <v>388</v>
      </c>
      <c r="J41" s="8">
        <v>1413</v>
      </c>
      <c r="K41" s="8">
        <v>3</v>
      </c>
      <c r="L41" s="8">
        <v>9</v>
      </c>
      <c r="M41" s="12">
        <v>0</v>
      </c>
      <c r="N41" s="8">
        <v>1</v>
      </c>
      <c r="O41" s="8">
        <v>201</v>
      </c>
      <c r="P41" s="8" t="s">
        <v>13</v>
      </c>
      <c r="Q41" s="8" t="s">
        <v>90</v>
      </c>
      <c r="R41" s="15" t="s">
        <v>12</v>
      </c>
      <c r="S41" s="4" t="str">
        <f t="shared" si="3"/>
        <v>غير محدد</v>
      </c>
      <c r="T41" s="2" t="str" cm="1">
        <f t="array" ref="T41">IFERROR(MID(R41,MATCH(TRUE,ISNUMBER(1*MID(R41,ROW($1:$13),1)),0),COUNT(1*MID(R41,ROW($1:$13),1))),"غير محدد")</f>
        <v>غير محدد</v>
      </c>
      <c r="U41" s="13" t="s">
        <v>93</v>
      </c>
      <c r="V41" s="11">
        <f>الجدول1[[#This Row],[CO2]]/الجدول1[[#This Row],[CO]]</f>
        <v>7.0298507462686564</v>
      </c>
      <c r="W41" s="11">
        <f>الجدول1[[#This Row],[C2H2]]/الجدول1[[#This Row],[C2H4]]</f>
        <v>0</v>
      </c>
      <c r="X41" s="11">
        <f>الجدول1[[#This Row],[C2H4]]/الجدول1[[#This Row],[C2H6]]</f>
        <v>0.33333333333333331</v>
      </c>
      <c r="Y41" s="17">
        <f>الجدول1[[#This Row],[CH4]]/الجدول1[[#This Row],[H2]]</f>
        <v>2.5773195876288659E-3</v>
      </c>
      <c r="Z41" s="3" t="str">
        <f t="shared" ca="1" si="4"/>
        <v xml:space="preserve">0 </v>
      </c>
      <c r="AA41" s="1"/>
      <c r="AB41" s="1"/>
      <c r="AC41" s="1"/>
      <c r="AD41" s="1"/>
      <c r="AE41" s="1"/>
      <c r="AF41" s="1"/>
      <c r="AG41" s="1"/>
    </row>
    <row r="42" spans="1:33" ht="24.6" customHeight="1" x14ac:dyDescent="0.2">
      <c r="A42" s="5" t="s">
        <v>26</v>
      </c>
      <c r="B42" s="5" t="s">
        <v>39</v>
      </c>
      <c r="C42" s="6" t="s">
        <v>27</v>
      </c>
      <c r="D42" s="7">
        <v>45587</v>
      </c>
      <c r="E42" s="8" t="str">
        <f t="shared" ca="1" si="0"/>
        <v xml:space="preserve">1  m 24  D </v>
      </c>
      <c r="F42" s="8">
        <v>19884</v>
      </c>
      <c r="G42" s="8">
        <v>73512</v>
      </c>
      <c r="H42" s="11">
        <f>الجدول1[[#This Row],[O2]]/الجدول1[[#This Row],[N2]]</f>
        <v>0.27048645119164216</v>
      </c>
      <c r="I42" s="8">
        <v>530</v>
      </c>
      <c r="J42" s="8">
        <v>2279</v>
      </c>
      <c r="K42" s="8">
        <v>6</v>
      </c>
      <c r="L42" s="8">
        <v>20</v>
      </c>
      <c r="M42" s="12">
        <v>0</v>
      </c>
      <c r="N42" s="8">
        <v>2</v>
      </c>
      <c r="O42" s="8">
        <v>197</v>
      </c>
      <c r="P42" s="8" t="s">
        <v>13</v>
      </c>
      <c r="Q42" s="8" t="s">
        <v>90</v>
      </c>
      <c r="R42" s="15" t="s">
        <v>151</v>
      </c>
      <c r="S42" s="4">
        <f t="shared" si="3"/>
        <v>45618</v>
      </c>
      <c r="T42" s="2" t="str" cm="1">
        <f t="array" ref="T42">IFERROR(MID(R42,MATCH(TRUE,ISNUMBER(1*MID(R42,ROW($1:$13),1)),0),COUNT(1*MID(R42,ROW($1:$13),1))),"غير محدد")</f>
        <v>1</v>
      </c>
      <c r="U42" s="13" t="s">
        <v>93</v>
      </c>
      <c r="V42" s="11">
        <f>الجدول1[[#This Row],[CO2]]/الجدول1[[#This Row],[CO]]</f>
        <v>11.568527918781726</v>
      </c>
      <c r="W42" s="11">
        <f>الجدول1[[#This Row],[C2H2]]/الجدول1[[#This Row],[C2H4]]</f>
        <v>0</v>
      </c>
      <c r="X42" s="11">
        <f>الجدول1[[#This Row],[C2H4]]/الجدول1[[#This Row],[C2H6]]</f>
        <v>0.3</v>
      </c>
      <c r="Y42" s="17">
        <f>الجدول1[[#This Row],[CH4]]/الجدول1[[#This Row],[H2]]</f>
        <v>3.7735849056603774E-3</v>
      </c>
      <c r="Z42" s="3" t="str">
        <f t="shared" ca="1" si="4"/>
        <v xml:space="preserve">24   </v>
      </c>
      <c r="AA42" s="1"/>
      <c r="AB42" s="1"/>
      <c r="AC42" s="1"/>
      <c r="AD42" s="1"/>
      <c r="AE42" s="1"/>
      <c r="AF42" s="1"/>
      <c r="AG42" s="1"/>
    </row>
    <row r="43" spans="1:33" ht="24.6" customHeight="1" x14ac:dyDescent="0.2">
      <c r="A43" s="5" t="s">
        <v>26</v>
      </c>
      <c r="B43" s="5" t="s">
        <v>39</v>
      </c>
      <c r="C43" s="6" t="s">
        <v>27</v>
      </c>
      <c r="D43" s="7">
        <v>45726</v>
      </c>
      <c r="E43" s="8" t="str">
        <f t="shared" ca="1" si="0"/>
        <v xml:space="preserve">9  m 6  D </v>
      </c>
      <c r="F43" s="8">
        <v>31507</v>
      </c>
      <c r="G43" s="8">
        <v>74813</v>
      </c>
      <c r="H43" s="11">
        <f>الجدول1[[#This Row],[O2]]/الجدول1[[#This Row],[N2]]</f>
        <v>0.42114338417120017</v>
      </c>
      <c r="I43" s="8">
        <v>429</v>
      </c>
      <c r="J43" s="8">
        <v>2003</v>
      </c>
      <c r="K43" s="8">
        <v>4</v>
      </c>
      <c r="L43" s="8">
        <v>15</v>
      </c>
      <c r="M43" s="12">
        <v>0</v>
      </c>
      <c r="N43" s="8">
        <v>1</v>
      </c>
      <c r="O43" s="8">
        <v>91</v>
      </c>
      <c r="P43" s="8" t="s">
        <v>13</v>
      </c>
      <c r="Q43" s="8" t="s">
        <v>90</v>
      </c>
      <c r="R43" s="15" t="s">
        <v>151</v>
      </c>
      <c r="S43" s="4">
        <f t="shared" si="3"/>
        <v>45757</v>
      </c>
      <c r="T43" s="2" t="str" cm="1">
        <f t="array" ref="T43">IFERROR(MID(R43,MATCH(TRUE,ISNUMBER(1*MID(R43,ROW($1:$13),1)),0),COUNT(1*MID(R43,ROW($1:$13),1))),"غير محدد")</f>
        <v>1</v>
      </c>
      <c r="U43" s="13" t="s">
        <v>93</v>
      </c>
      <c r="V43" s="11">
        <f>الجدول1[[#This Row],[CO2]]/الجدول1[[#This Row],[CO]]</f>
        <v>22.010989010989011</v>
      </c>
      <c r="W43" s="11">
        <f>الجدول1[[#This Row],[C2H2]]/الجدول1[[#This Row],[C2H4]]</f>
        <v>0</v>
      </c>
      <c r="X43" s="11">
        <f>الجدول1[[#This Row],[C2H4]]/الجدول1[[#This Row],[C2H6]]</f>
        <v>0.26666666666666666</v>
      </c>
      <c r="Y43" s="17">
        <f>الجدول1[[#This Row],[CH4]]/الجدول1[[#This Row],[H2]]</f>
        <v>2.331002331002331E-3</v>
      </c>
      <c r="Z43" s="3" t="str">
        <f t="shared" ca="1" si="4"/>
        <v xml:space="preserve">6   </v>
      </c>
      <c r="AA43" s="1"/>
      <c r="AB43" s="1"/>
      <c r="AC43" s="1"/>
      <c r="AD43" s="1"/>
      <c r="AE43" s="1"/>
      <c r="AF43" s="1"/>
      <c r="AG43" s="1"/>
    </row>
    <row r="44" spans="1:33" ht="24.6" customHeight="1" x14ac:dyDescent="0.2">
      <c r="A44" s="5" t="s">
        <v>26</v>
      </c>
      <c r="B44" s="5" t="s">
        <v>39</v>
      </c>
      <c r="C44" s="6" t="s">
        <v>27</v>
      </c>
      <c r="D44" s="7">
        <v>45797</v>
      </c>
      <c r="E44" s="8" t="str">
        <f t="shared" ca="1" si="0"/>
        <v xml:space="preserve">6  m 26  D </v>
      </c>
      <c r="F44" s="8">
        <v>29792</v>
      </c>
      <c r="G44" s="8">
        <v>72230</v>
      </c>
      <c r="H44" s="11">
        <f>الجدول1[[#This Row],[O2]]/الجدول1[[#This Row],[N2]]</f>
        <v>0.41246019659421296</v>
      </c>
      <c r="I44" s="8">
        <v>785</v>
      </c>
      <c r="J44" s="8">
        <v>2146</v>
      </c>
      <c r="K44" s="8">
        <v>5</v>
      </c>
      <c r="L44" s="8">
        <v>15</v>
      </c>
      <c r="M44" s="12">
        <v>0</v>
      </c>
      <c r="N44" s="8">
        <v>17</v>
      </c>
      <c r="O44" s="8">
        <v>154</v>
      </c>
      <c r="P44" s="8" t="s">
        <v>25</v>
      </c>
      <c r="Q44" s="8" t="s">
        <v>90</v>
      </c>
      <c r="R44" s="15" t="s">
        <v>151</v>
      </c>
      <c r="S44" s="4">
        <f t="shared" si="3"/>
        <v>45828</v>
      </c>
      <c r="T44" s="2" t="str" cm="1">
        <f t="array" ref="T44">IFERROR(MID(R44,MATCH(TRUE,ISNUMBER(1*MID(R44,ROW($1:$13),1)),0),COUNT(1*MID(R44,ROW($1:$13),1))),"غير محدد")</f>
        <v>1</v>
      </c>
      <c r="U44" s="13" t="s">
        <v>93</v>
      </c>
      <c r="V44" s="11">
        <f>الجدول1[[#This Row],[CO2]]/الجدول1[[#This Row],[CO]]</f>
        <v>13.935064935064934</v>
      </c>
      <c r="W44" s="11">
        <f>الجدول1[[#This Row],[C2H2]]/الجدول1[[#This Row],[C2H4]]</f>
        <v>0</v>
      </c>
      <c r="X44" s="11">
        <f>الجدول1[[#This Row],[C2H4]]/الجدول1[[#This Row],[C2H6]]</f>
        <v>0.33333333333333331</v>
      </c>
      <c r="Y44" s="17">
        <f>الجدول1[[#This Row],[CH4]]/الجدول1[[#This Row],[H2]]</f>
        <v>2.1656050955414011E-2</v>
      </c>
      <c r="Z44" s="3" t="str">
        <f t="shared" ca="1" si="4"/>
        <v xml:space="preserve">26   </v>
      </c>
      <c r="AA44" s="1"/>
      <c r="AB44" s="1"/>
      <c r="AC44" s="1"/>
      <c r="AD44" s="1"/>
      <c r="AE44" s="1"/>
      <c r="AF44" s="1"/>
      <c r="AG44" s="1"/>
    </row>
    <row r="45" spans="1:33" ht="24.6" customHeight="1" x14ac:dyDescent="0.2">
      <c r="A45" s="5" t="s">
        <v>26</v>
      </c>
      <c r="B45" s="5" t="s">
        <v>39</v>
      </c>
      <c r="C45" s="6" t="s">
        <v>27</v>
      </c>
      <c r="D45" s="7">
        <v>45890</v>
      </c>
      <c r="E45" s="8" t="str">
        <f t="shared" ca="1" si="0"/>
        <v xml:space="preserve">3  m 25  D </v>
      </c>
      <c r="F45" s="8">
        <v>4081</v>
      </c>
      <c r="G45" s="8">
        <v>115197</v>
      </c>
      <c r="H45" s="11">
        <f>الجدول1[[#This Row],[O2]]/الجدول1[[#This Row],[N2]]</f>
        <v>3.5426269781331114E-2</v>
      </c>
      <c r="I45" s="8">
        <v>121</v>
      </c>
      <c r="J45" s="8">
        <v>7994</v>
      </c>
      <c r="K45" s="8">
        <v>8</v>
      </c>
      <c r="L45" s="8">
        <v>111</v>
      </c>
      <c r="M45" s="12">
        <v>0</v>
      </c>
      <c r="N45" s="8">
        <v>10</v>
      </c>
      <c r="O45" s="8">
        <v>441</v>
      </c>
      <c r="P45" s="8" t="s">
        <v>25</v>
      </c>
      <c r="Q45" s="8" t="s">
        <v>90</v>
      </c>
      <c r="R45" s="15" t="s">
        <v>153</v>
      </c>
      <c r="S45" s="4">
        <f t="shared" si="3"/>
        <v>45982</v>
      </c>
      <c r="T45" s="2" t="str" cm="1">
        <f t="array" ref="T45">IFERROR(MID(R45,MATCH(TRUE,ISNUMBER(1*MID(R45,ROW($1:$13),1)),0),COUNT(1*MID(R45,ROW($1:$13),1))),"غير محدد")</f>
        <v>3</v>
      </c>
      <c r="U45" s="16" t="s">
        <v>57</v>
      </c>
      <c r="V45" s="11">
        <f>الجدول1[[#This Row],[CO2]]/الجدول1[[#This Row],[CO]]</f>
        <v>18.126984126984127</v>
      </c>
      <c r="W45" s="11">
        <f>الجدول1[[#This Row],[C2H2]]/الجدول1[[#This Row],[C2H4]]</f>
        <v>0</v>
      </c>
      <c r="X45" s="11">
        <f>الجدول1[[#This Row],[C2H4]]/الجدول1[[#This Row],[C2H6]]</f>
        <v>7.2072072072072071E-2</v>
      </c>
      <c r="Y45" s="17">
        <f>الجدول1[[#This Row],[CH4]]/الجدول1[[#This Row],[H2]]</f>
        <v>8.2644628099173556E-2</v>
      </c>
      <c r="Z45" s="3" t="str">
        <f t="shared" ca="1" si="4"/>
        <v xml:space="preserve">25   </v>
      </c>
      <c r="AA45" s="1"/>
      <c r="AB45" s="1"/>
      <c r="AC45" s="1"/>
      <c r="AD45" s="1"/>
      <c r="AE45" s="1"/>
      <c r="AF45" s="1"/>
      <c r="AG45" s="1"/>
    </row>
    <row r="46" spans="1:33" s="14" customFormat="1" ht="24.6" customHeight="1" x14ac:dyDescent="0.2">
      <c r="A46" s="5" t="s">
        <v>184</v>
      </c>
      <c r="B46" s="5" t="s">
        <v>15</v>
      </c>
      <c r="C46" s="6" t="s">
        <v>27</v>
      </c>
      <c r="D46" s="7">
        <v>45208</v>
      </c>
      <c r="E46" s="8" t="str">
        <f t="shared" ca="1" si="0"/>
        <v xml:space="preserve">2  m 7  D </v>
      </c>
      <c r="F46" s="8">
        <v>13374</v>
      </c>
      <c r="G46" s="8">
        <v>134456</v>
      </c>
      <c r="H46" s="11">
        <f>الجدول1[[#This Row],[O2]]/الجدول1[[#This Row],[N2]]</f>
        <v>9.9467483786517527E-2</v>
      </c>
      <c r="I46" s="8">
        <v>39</v>
      </c>
      <c r="J46" s="8">
        <v>5552</v>
      </c>
      <c r="K46" s="8">
        <v>1</v>
      </c>
      <c r="L46" s="8">
        <v>2</v>
      </c>
      <c r="M46" s="12">
        <v>0</v>
      </c>
      <c r="N46" s="8">
        <v>2</v>
      </c>
      <c r="O46" s="8">
        <v>397</v>
      </c>
      <c r="P46" s="8" t="s">
        <v>25</v>
      </c>
      <c r="Q46" s="8" t="s">
        <v>90</v>
      </c>
      <c r="R46" s="8" t="s">
        <v>12</v>
      </c>
      <c r="S46" s="4" t="str">
        <f t="shared" si="3"/>
        <v>غير محدد</v>
      </c>
      <c r="T46" s="2" t="str" cm="1">
        <f t="array" ref="T46">IFERROR(MID(R46,MATCH(TRUE,ISNUMBER(1*MID(R46,ROW($1:$13),1)),0),COUNT(1*MID(R46,ROW($1:$13),1))),"غير محدد")</f>
        <v>غير محدد</v>
      </c>
      <c r="U46" s="8" t="s">
        <v>57</v>
      </c>
      <c r="V46" s="11">
        <f>الجدول1[[#This Row],[CO2]]/الجدول1[[#This Row],[CO]]</f>
        <v>13.984886649874056</v>
      </c>
      <c r="W46" s="11">
        <f>الجدول1[[#This Row],[C2H2]]/الجدول1[[#This Row],[C2H4]]</f>
        <v>0</v>
      </c>
      <c r="X46" s="11">
        <f>الجدول1[[#This Row],[C2H4]]/الجدول1[[#This Row],[C2H6]]</f>
        <v>0.5</v>
      </c>
      <c r="Y46" s="17">
        <f>الجدول1[[#This Row],[CH4]]/الجدول1[[#This Row],[H2]]</f>
        <v>5.128205128205128E-2</v>
      </c>
      <c r="Z46" s="3" t="str">
        <f t="shared" ca="1" si="4"/>
        <v xml:space="preserve">0 </v>
      </c>
    </row>
    <row r="47" spans="1:33" s="14" customFormat="1" ht="24.6" customHeight="1" x14ac:dyDescent="0.2">
      <c r="A47" s="5" t="s">
        <v>184</v>
      </c>
      <c r="B47" s="5" t="s">
        <v>24</v>
      </c>
      <c r="C47" s="6" t="s">
        <v>27</v>
      </c>
      <c r="D47" s="10">
        <v>45208</v>
      </c>
      <c r="E47" s="8" t="str">
        <f t="shared" ca="1" si="0"/>
        <v xml:space="preserve">2  m 7  D </v>
      </c>
      <c r="F47" s="8">
        <v>9238</v>
      </c>
      <c r="G47" s="8">
        <v>150492</v>
      </c>
      <c r="H47" s="11">
        <f>الجدول1[[#This Row],[O2]]/الجدول1[[#This Row],[N2]]</f>
        <v>6.1385322807856899E-2</v>
      </c>
      <c r="I47" s="8">
        <v>25</v>
      </c>
      <c r="J47" s="8">
        <v>4093</v>
      </c>
      <c r="K47" s="8">
        <v>2</v>
      </c>
      <c r="L47" s="8">
        <v>3</v>
      </c>
      <c r="M47" s="12">
        <v>0</v>
      </c>
      <c r="N47" s="8">
        <v>2</v>
      </c>
      <c r="O47" s="8">
        <v>435</v>
      </c>
      <c r="P47" s="8" t="s">
        <v>13</v>
      </c>
      <c r="Q47" s="8" t="s">
        <v>90</v>
      </c>
      <c r="R47" s="8" t="s">
        <v>12</v>
      </c>
      <c r="S47" s="4" t="str">
        <f t="shared" si="3"/>
        <v>غير محدد</v>
      </c>
      <c r="T47" s="2" t="str" cm="1">
        <f t="array" ref="T47">IFERROR(MID(R47,MATCH(TRUE,ISNUMBER(1*MID(R47,ROW($1:$13),1)),0),COUNT(1*MID(R47,ROW($1:$13),1))),"غير محدد")</f>
        <v>غير محدد</v>
      </c>
      <c r="U47" s="8" t="s">
        <v>57</v>
      </c>
      <c r="V47" s="11">
        <f>الجدول1[[#This Row],[CO2]]/الجدول1[[#This Row],[CO]]</f>
        <v>9.4091954022988507</v>
      </c>
      <c r="W47" s="11">
        <f>الجدول1[[#This Row],[C2H2]]/الجدول1[[#This Row],[C2H4]]</f>
        <v>0</v>
      </c>
      <c r="X47" s="11">
        <f>الجدول1[[#This Row],[C2H4]]/الجدول1[[#This Row],[C2H6]]</f>
        <v>0.66666666666666663</v>
      </c>
      <c r="Y47" s="17">
        <f>الجدول1[[#This Row],[CH4]]/الجدول1[[#This Row],[H2]]</f>
        <v>0.08</v>
      </c>
      <c r="Z47" s="3" t="str">
        <f t="shared" ca="1" si="4"/>
        <v xml:space="preserve">0 </v>
      </c>
    </row>
    <row r="48" spans="1:33" s="14" customFormat="1" ht="24.6" customHeight="1" x14ac:dyDescent="0.2">
      <c r="A48" s="5" t="s">
        <v>184</v>
      </c>
      <c r="B48" s="5" t="s">
        <v>38</v>
      </c>
      <c r="C48" s="6" t="s">
        <v>27</v>
      </c>
      <c r="D48" s="10">
        <v>45208</v>
      </c>
      <c r="E48" s="8" t="s">
        <v>185</v>
      </c>
      <c r="F48" s="8">
        <v>53322</v>
      </c>
      <c r="G48" s="8">
        <v>149161</v>
      </c>
      <c r="H48" s="11">
        <f>الجدول1[[#This Row],[O2]]/الجدول1[[#This Row],[N2]]</f>
        <v>0.35747950201460166</v>
      </c>
      <c r="I48" s="8">
        <v>26</v>
      </c>
      <c r="J48" s="8">
        <v>4133</v>
      </c>
      <c r="K48" s="8">
        <v>2</v>
      </c>
      <c r="L48" s="8">
        <v>3</v>
      </c>
      <c r="M48" s="12">
        <v>0</v>
      </c>
      <c r="N48" s="8">
        <v>1</v>
      </c>
      <c r="O48" s="8">
        <v>263</v>
      </c>
      <c r="P48" s="8" t="s">
        <v>13</v>
      </c>
      <c r="Q48" s="8" t="s">
        <v>90</v>
      </c>
      <c r="R48" s="8" t="s">
        <v>12</v>
      </c>
      <c r="S48" s="4" t="str">
        <f t="shared" si="3"/>
        <v>غير محدد</v>
      </c>
      <c r="T48" s="2" t="str" cm="1">
        <f t="array" ref="T48">IFERROR(MID(R48,MATCH(TRUE,ISNUMBER(1*MID(R48,ROW($1:$13),1)),0),COUNT(1*MID(R48,ROW($1:$13),1))),"غير محدد")</f>
        <v>غير محدد</v>
      </c>
      <c r="U48" s="8" t="s">
        <v>57</v>
      </c>
      <c r="V48" s="11">
        <f>الجدول1[[#This Row],[CO2]]/الجدول1[[#This Row],[CO]]</f>
        <v>15.714828897338403</v>
      </c>
      <c r="W48" s="11">
        <f>الجدول1[[#This Row],[C2H2]]/الجدول1[[#This Row],[C2H4]]</f>
        <v>0</v>
      </c>
      <c r="X48" s="11">
        <f>الجدول1[[#This Row],[C2H4]]/الجدول1[[#This Row],[C2H6]]</f>
        <v>0.66666666666666663</v>
      </c>
      <c r="Y48" s="17">
        <f>الجدول1[[#This Row],[CH4]]/الجدول1[[#This Row],[H2]]</f>
        <v>3.8461538461538464E-2</v>
      </c>
      <c r="Z48" s="3" t="str">
        <f t="shared" ca="1" si="4"/>
        <v xml:space="preserve">0 </v>
      </c>
    </row>
    <row r="49" spans="1:33" s="14" customFormat="1" ht="24.6" customHeight="1" x14ac:dyDescent="0.2">
      <c r="A49" s="5" t="s">
        <v>47</v>
      </c>
      <c r="B49" s="5" t="s">
        <v>116</v>
      </c>
      <c r="C49" s="6" t="s">
        <v>51</v>
      </c>
      <c r="D49" s="7">
        <v>45230</v>
      </c>
      <c r="E49" s="8" t="str">
        <f t="shared" ref="E49:E80" ca="1" si="5">IFERROR(DATEDIF(D49,TODAY(),"YM") &amp; "  m " &amp; DATEDIF(D49,TODAY(),"MD") &amp; "  D "," ")</f>
        <v xml:space="preserve">1  m 15  D </v>
      </c>
      <c r="F49" s="8">
        <v>2218</v>
      </c>
      <c r="G49" s="8">
        <v>100765</v>
      </c>
      <c r="H49" s="11">
        <f>الجدول1[[#This Row],[O2]]/الجدول1[[#This Row],[N2]]</f>
        <v>2.2011611174514962E-2</v>
      </c>
      <c r="I49" s="8">
        <v>35</v>
      </c>
      <c r="J49" s="8">
        <v>7862</v>
      </c>
      <c r="K49" s="8">
        <v>3</v>
      </c>
      <c r="L49" s="8">
        <v>6</v>
      </c>
      <c r="M49" s="12">
        <v>0</v>
      </c>
      <c r="N49" s="8">
        <v>8</v>
      </c>
      <c r="O49" s="8">
        <v>1304</v>
      </c>
      <c r="P49" s="8" t="s">
        <v>25</v>
      </c>
      <c r="Q49" s="8" t="s">
        <v>90</v>
      </c>
      <c r="R49" s="15" t="s">
        <v>12</v>
      </c>
      <c r="S49" s="4" t="str">
        <f t="shared" si="3"/>
        <v>غير محدد</v>
      </c>
      <c r="T49" s="2" t="str" cm="1">
        <f t="array" ref="T49">IFERROR(MID(R49,MATCH(TRUE,ISNUMBER(1*MID(R49,ROW($1:$13),1)),0),COUNT(1*MID(R49,ROW($1:$13),1))),"غير محدد")</f>
        <v>غير محدد</v>
      </c>
      <c r="U49" s="8" t="s">
        <v>57</v>
      </c>
      <c r="V49" s="11">
        <f>الجدول1[[#This Row],[CO2]]/الجدول1[[#This Row],[CO]]</f>
        <v>6.0291411042944789</v>
      </c>
      <c r="W49" s="11">
        <f>الجدول1[[#This Row],[C2H2]]/الجدول1[[#This Row],[C2H4]]</f>
        <v>0</v>
      </c>
      <c r="X49" s="11">
        <f>الجدول1[[#This Row],[C2H4]]/الجدول1[[#This Row],[C2H6]]</f>
        <v>0.5</v>
      </c>
      <c r="Y49" s="11">
        <f>الجدول1[[#This Row],[CH4]]/الجدول1[[#This Row],[H2]]</f>
        <v>0.22857142857142856</v>
      </c>
      <c r="Z49" s="3" t="str">
        <f t="shared" ca="1" si="4"/>
        <v xml:space="preserve">0 </v>
      </c>
    </row>
    <row r="50" spans="1:33" ht="24.6" customHeight="1" x14ac:dyDescent="0.2">
      <c r="A50" s="5" t="s">
        <v>47</v>
      </c>
      <c r="B50" s="5" t="s">
        <v>117</v>
      </c>
      <c r="C50" s="6" t="s">
        <v>51</v>
      </c>
      <c r="D50" s="10">
        <v>44951</v>
      </c>
      <c r="E50" s="8" t="str">
        <f t="shared" ca="1" si="5"/>
        <v xml:space="preserve">10  m 21  D </v>
      </c>
      <c r="F50" s="8">
        <v>4542</v>
      </c>
      <c r="G50" s="8">
        <v>35098</v>
      </c>
      <c r="H50" s="11">
        <f>الجدول1[[#This Row],[O2]]/الجدول1[[#This Row],[N2]]</f>
        <v>0.12940908313864039</v>
      </c>
      <c r="I50" s="8">
        <v>8</v>
      </c>
      <c r="J50" s="8">
        <v>1176</v>
      </c>
      <c r="K50" s="8">
        <v>5</v>
      </c>
      <c r="L50" s="8">
        <v>3</v>
      </c>
      <c r="M50" s="12">
        <v>0</v>
      </c>
      <c r="N50" s="8">
        <v>4</v>
      </c>
      <c r="O50" s="8">
        <v>136</v>
      </c>
      <c r="P50" s="8" t="s">
        <v>21</v>
      </c>
      <c r="Q50" s="8">
        <v>1</v>
      </c>
      <c r="R50" s="15" t="s">
        <v>22</v>
      </c>
      <c r="S50" s="4" t="str">
        <f t="shared" si="3"/>
        <v>غير محدد</v>
      </c>
      <c r="T50" s="2" t="str" cm="1">
        <f t="array" ref="T50">IFERROR(MID(R50,MATCH(TRUE,ISNUMBER(1*MID(R50,ROW($1:$13),1)),0),COUNT(1*MID(R50,ROW($1:$13),1))),"غير محدد")</f>
        <v>غير محدد</v>
      </c>
      <c r="U50" s="13" t="s">
        <v>93</v>
      </c>
      <c r="V50" s="11">
        <f>الجدول1[[#This Row],[CO2]]/الجدول1[[#This Row],[CO]]</f>
        <v>8.6470588235294112</v>
      </c>
      <c r="W50" s="11">
        <f>الجدول1[[#This Row],[C2H2]]/الجدول1[[#This Row],[C2H4]]</f>
        <v>0</v>
      </c>
      <c r="X50" s="11">
        <f>الجدول1[[#This Row],[C2H4]]/الجدول1[[#This Row],[C2H6]]</f>
        <v>1.6666666666666667</v>
      </c>
      <c r="Y50" s="17">
        <f>الجدول1[[#This Row],[CH4]]/الجدول1[[#This Row],[H2]]</f>
        <v>0.5</v>
      </c>
      <c r="Z50" s="3" t="str">
        <f t="shared" ca="1" si="4"/>
        <v xml:space="preserve">0 </v>
      </c>
      <c r="AA50" s="1"/>
      <c r="AB50" s="1"/>
      <c r="AC50" s="1"/>
      <c r="AD50" s="1"/>
      <c r="AE50" s="1"/>
      <c r="AF50" s="1"/>
      <c r="AG50" s="1"/>
    </row>
    <row r="51" spans="1:33" s="14" customFormat="1" ht="24.6" customHeight="1" x14ac:dyDescent="0.2">
      <c r="A51" s="5" t="s">
        <v>47</v>
      </c>
      <c r="B51" s="5" t="s">
        <v>117</v>
      </c>
      <c r="C51" s="6" t="s">
        <v>51</v>
      </c>
      <c r="D51" s="7" t="s">
        <v>115</v>
      </c>
      <c r="E51" s="8" t="str">
        <f t="shared" ca="1" si="5"/>
        <v xml:space="preserve">1  m 15  D </v>
      </c>
      <c r="F51" s="8">
        <v>5331</v>
      </c>
      <c r="G51" s="8">
        <v>94542</v>
      </c>
      <c r="H51" s="11">
        <f>الجدول1[[#This Row],[O2]]/الجدول1[[#This Row],[N2]]</f>
        <v>5.6387637240591482E-2</v>
      </c>
      <c r="I51" s="8">
        <v>28</v>
      </c>
      <c r="J51" s="8">
        <v>8155</v>
      </c>
      <c r="K51" s="8">
        <v>412</v>
      </c>
      <c r="L51" s="8">
        <v>84</v>
      </c>
      <c r="M51" s="12">
        <v>0</v>
      </c>
      <c r="N51" s="8">
        <v>264</v>
      </c>
      <c r="O51" s="8">
        <v>1338</v>
      </c>
      <c r="P51" s="8" t="s">
        <v>13</v>
      </c>
      <c r="Q51" s="8" t="s">
        <v>90</v>
      </c>
      <c r="R51" s="15" t="s">
        <v>12</v>
      </c>
      <c r="S51" s="4" t="str">
        <f t="shared" si="3"/>
        <v>غير محدد</v>
      </c>
      <c r="T51" s="2" t="str" cm="1">
        <f t="array" ref="T51">IFERROR(MID(R51,MATCH(TRUE,ISNUMBER(1*MID(R51,ROW($1:$13),1)),0),COUNT(1*MID(R51,ROW($1:$13),1))),"غير محدد")</f>
        <v>غير محدد</v>
      </c>
      <c r="U51" s="8" t="s">
        <v>57</v>
      </c>
      <c r="V51" s="11">
        <f>الجدول1[[#This Row],[CO2]]/الجدول1[[#This Row],[CO]]</f>
        <v>6.0949177877428999</v>
      </c>
      <c r="W51" s="11">
        <f>الجدول1[[#This Row],[C2H2]]/الجدول1[[#This Row],[C2H4]]</f>
        <v>0</v>
      </c>
      <c r="X51" s="11">
        <f>الجدول1[[#This Row],[C2H4]]/الجدول1[[#This Row],[C2H6]]</f>
        <v>4.9047619047619051</v>
      </c>
      <c r="Y51" s="17">
        <f>الجدول1[[#This Row],[CH4]]/الجدول1[[#This Row],[H2]]</f>
        <v>9.4285714285714288</v>
      </c>
      <c r="Z51" s="3" t="str">
        <f t="shared" ca="1" si="4"/>
        <v xml:space="preserve">0 </v>
      </c>
    </row>
    <row r="52" spans="1:33" s="14" customFormat="1" ht="24.6" customHeight="1" x14ac:dyDescent="0.2">
      <c r="A52" s="5" t="s">
        <v>47</v>
      </c>
      <c r="B52" s="5" t="s">
        <v>48</v>
      </c>
      <c r="C52" s="6" t="s">
        <v>51</v>
      </c>
      <c r="D52" s="10">
        <v>44866</v>
      </c>
      <c r="E52" s="8" t="str">
        <f t="shared" ca="1" si="5"/>
        <v xml:space="preserve">1  m 15  D </v>
      </c>
      <c r="F52" s="8">
        <v>7811</v>
      </c>
      <c r="G52" s="8">
        <v>79519</v>
      </c>
      <c r="H52" s="11">
        <f>الجدول1[[#This Row],[O2]]/الجدول1[[#This Row],[N2]]</f>
        <v>9.822809642978407E-2</v>
      </c>
      <c r="I52" s="8">
        <v>115</v>
      </c>
      <c r="J52" s="8">
        <v>4139</v>
      </c>
      <c r="K52" s="8">
        <v>187</v>
      </c>
      <c r="L52" s="8">
        <v>77</v>
      </c>
      <c r="M52" s="12">
        <v>4</v>
      </c>
      <c r="N52" s="8">
        <v>193</v>
      </c>
      <c r="O52" s="8">
        <v>660</v>
      </c>
      <c r="P52" s="8" t="s">
        <v>25</v>
      </c>
      <c r="Q52" s="8">
        <v>2</v>
      </c>
      <c r="R52" s="8" t="s">
        <v>17</v>
      </c>
      <c r="S52" s="4" t="str">
        <f t="shared" si="3"/>
        <v>غير محدد</v>
      </c>
      <c r="T52" s="2" t="str" cm="1">
        <f t="array" ref="T52">IFERROR(MID(R52,MATCH(TRUE,ISNUMBER(1*MID(R52,ROW($1:$13),1)),0),COUNT(1*MID(R52,ROW($1:$13),1))),"غير محدد")</f>
        <v>غير محدد</v>
      </c>
      <c r="U52" s="13" t="s">
        <v>93</v>
      </c>
      <c r="V52" s="11">
        <f>الجدول1[[#This Row],[CO2]]/الجدول1[[#This Row],[CO]]</f>
        <v>6.2712121212121215</v>
      </c>
      <c r="W52" s="11">
        <f>الجدول1[[#This Row],[C2H2]]/الجدول1[[#This Row],[C2H4]]</f>
        <v>2.1390374331550801E-2</v>
      </c>
      <c r="X52" s="11">
        <f>الجدول1[[#This Row],[C2H4]]/الجدول1[[#This Row],[C2H6]]</f>
        <v>2.4285714285714284</v>
      </c>
      <c r="Y52" s="17">
        <f>الجدول1[[#This Row],[CH4]]/الجدول1[[#This Row],[H2]]</f>
        <v>1.6782608695652175</v>
      </c>
      <c r="Z52" s="3" t="str">
        <f t="shared" ca="1" si="4"/>
        <v xml:space="preserve">0 </v>
      </c>
    </row>
    <row r="53" spans="1:33" s="14" customFormat="1" ht="24.6" customHeight="1" x14ac:dyDescent="0.2">
      <c r="A53" s="5" t="s">
        <v>47</v>
      </c>
      <c r="B53" s="5" t="s">
        <v>48</v>
      </c>
      <c r="C53" s="6" t="s">
        <v>51</v>
      </c>
      <c r="D53" s="10">
        <v>45048</v>
      </c>
      <c r="E53" s="8" t="str">
        <f t="shared" ca="1" si="5"/>
        <v xml:space="preserve">7  m 14  D </v>
      </c>
      <c r="F53" s="8">
        <v>9964</v>
      </c>
      <c r="G53" s="8">
        <v>47067</v>
      </c>
      <c r="H53" s="11">
        <f>الجدول1[[#This Row],[O2]]/الجدول1[[#This Row],[N2]]</f>
        <v>0.21169821743472073</v>
      </c>
      <c r="I53" s="8">
        <v>67</v>
      </c>
      <c r="J53" s="8">
        <v>1896</v>
      </c>
      <c r="K53" s="8">
        <v>248</v>
      </c>
      <c r="L53" s="8">
        <v>85</v>
      </c>
      <c r="M53" s="12">
        <v>0</v>
      </c>
      <c r="N53" s="8">
        <v>276</v>
      </c>
      <c r="O53" s="8">
        <v>271</v>
      </c>
      <c r="P53" s="8" t="s">
        <v>25</v>
      </c>
      <c r="Q53" s="8">
        <v>2</v>
      </c>
      <c r="R53" s="8" t="s">
        <v>17</v>
      </c>
      <c r="S53" s="4" t="str">
        <f t="shared" si="3"/>
        <v>غير محدد</v>
      </c>
      <c r="T53" s="2" t="str" cm="1">
        <f t="array" ref="T53">IFERROR(MID(R53,MATCH(TRUE,ISNUMBER(1*MID(R53,ROW($1:$13),1)),0),COUNT(1*MID(R53,ROW($1:$13),1))),"غير محدد")</f>
        <v>غير محدد</v>
      </c>
      <c r="U53" s="13" t="s">
        <v>93</v>
      </c>
      <c r="V53" s="11">
        <f>الجدول1[[#This Row],[CO2]]/الجدول1[[#This Row],[CO]]</f>
        <v>6.9963099630996313</v>
      </c>
      <c r="W53" s="11">
        <f>الجدول1[[#This Row],[C2H2]]/الجدول1[[#This Row],[C2H4]]</f>
        <v>0</v>
      </c>
      <c r="X53" s="11">
        <f>الجدول1[[#This Row],[C2H4]]/الجدول1[[#This Row],[C2H6]]</f>
        <v>2.9176470588235293</v>
      </c>
      <c r="Y53" s="17">
        <f>الجدول1[[#This Row],[CH4]]/الجدول1[[#This Row],[H2]]</f>
        <v>4.1194029850746272</v>
      </c>
      <c r="Z53" s="3" t="str">
        <f t="shared" ca="1" si="4"/>
        <v xml:space="preserve">0 </v>
      </c>
    </row>
    <row r="54" spans="1:33" s="14" customFormat="1" ht="24.6" customHeight="1" x14ac:dyDescent="0.2">
      <c r="A54" s="5" t="s">
        <v>47</v>
      </c>
      <c r="B54" s="5" t="s">
        <v>48</v>
      </c>
      <c r="C54" s="6" t="s">
        <v>51</v>
      </c>
      <c r="D54" s="10">
        <v>45119</v>
      </c>
      <c r="E54" s="8" t="str">
        <f t="shared" ca="1" si="5"/>
        <v xml:space="preserve">5  m 4  D </v>
      </c>
      <c r="F54" s="8">
        <v>9826</v>
      </c>
      <c r="G54" s="8">
        <v>103147</v>
      </c>
      <c r="H54" s="11">
        <f>الجدول1[[#This Row],[O2]]/الجدول1[[#This Row],[N2]]</f>
        <v>9.526210166073662E-2</v>
      </c>
      <c r="I54" s="8">
        <v>31</v>
      </c>
      <c r="J54" s="8">
        <v>1983</v>
      </c>
      <c r="K54" s="8">
        <v>67</v>
      </c>
      <c r="L54" s="8">
        <v>22</v>
      </c>
      <c r="M54" s="12">
        <v>0</v>
      </c>
      <c r="N54" s="8">
        <v>84</v>
      </c>
      <c r="O54" s="8">
        <v>181</v>
      </c>
      <c r="P54" s="8" t="s">
        <v>25</v>
      </c>
      <c r="Q54" s="8"/>
      <c r="R54" s="8" t="s">
        <v>91</v>
      </c>
      <c r="S54" s="4" t="str">
        <f t="shared" si="3"/>
        <v>غير محدد</v>
      </c>
      <c r="T54" s="2" t="str" cm="1">
        <f t="array" ref="T54">IFERROR(MID(R54,MATCH(TRUE,ISNUMBER(1*MID(R54,ROW($1:$13),1)),0),COUNT(1*MID(R54,ROW($1:$13),1))),"غير محدد")</f>
        <v>غير محدد</v>
      </c>
      <c r="U54" s="13" t="s">
        <v>93</v>
      </c>
      <c r="V54" s="11">
        <f>الجدول1[[#This Row],[CO2]]/الجدول1[[#This Row],[CO]]</f>
        <v>10.955801104972375</v>
      </c>
      <c r="W54" s="11">
        <f>الجدول1[[#This Row],[C2H2]]/الجدول1[[#This Row],[C2H4]]</f>
        <v>0</v>
      </c>
      <c r="X54" s="11">
        <f>الجدول1[[#This Row],[C2H4]]/الجدول1[[#This Row],[C2H6]]</f>
        <v>3.0454545454545454</v>
      </c>
      <c r="Y54" s="17">
        <f>الجدول1[[#This Row],[CH4]]/الجدول1[[#This Row],[H2]]</f>
        <v>2.7096774193548385</v>
      </c>
      <c r="Z54" s="3" t="str">
        <f t="shared" ca="1" si="4"/>
        <v xml:space="preserve">0 </v>
      </c>
    </row>
    <row r="55" spans="1:33" s="14" customFormat="1" ht="24.6" customHeight="1" x14ac:dyDescent="0.2">
      <c r="A55" s="5" t="s">
        <v>47</v>
      </c>
      <c r="B55" s="5" t="s">
        <v>48</v>
      </c>
      <c r="C55" s="6" t="s">
        <v>51</v>
      </c>
      <c r="D55" s="10">
        <v>45230</v>
      </c>
      <c r="E55" s="8" t="str">
        <f t="shared" ca="1" si="5"/>
        <v xml:space="preserve">1  m 15  D </v>
      </c>
      <c r="F55" s="8">
        <v>6468</v>
      </c>
      <c r="G55" s="8">
        <v>89838</v>
      </c>
      <c r="H55" s="11">
        <f>الجدول1[[#This Row],[O2]]/الجدول1[[#This Row],[N2]]</f>
        <v>7.1996259934548848E-2</v>
      </c>
      <c r="I55" s="8">
        <v>48</v>
      </c>
      <c r="J55" s="8">
        <v>5320</v>
      </c>
      <c r="K55" s="8">
        <v>154</v>
      </c>
      <c r="L55" s="8">
        <v>72</v>
      </c>
      <c r="M55" s="12">
        <v>3</v>
      </c>
      <c r="N55" s="8">
        <v>168</v>
      </c>
      <c r="O55" s="8">
        <v>969</v>
      </c>
      <c r="P55" s="8" t="s">
        <v>25</v>
      </c>
      <c r="Q55" s="8" t="s">
        <v>90</v>
      </c>
      <c r="R55" s="8" t="s">
        <v>91</v>
      </c>
      <c r="S55" s="4" t="str">
        <f t="shared" si="3"/>
        <v>غير محدد</v>
      </c>
      <c r="T55" s="2" t="str" cm="1">
        <f t="array" ref="T55">IFERROR(MID(R55,MATCH(TRUE,ISNUMBER(1*MID(R55,ROW($1:$13),1)),0),COUNT(1*MID(R55,ROW($1:$13),1))),"غير محدد")</f>
        <v>غير محدد</v>
      </c>
      <c r="U55" s="13" t="s">
        <v>93</v>
      </c>
      <c r="V55" s="11">
        <f>الجدول1[[#This Row],[CO2]]/الجدول1[[#This Row],[CO]]</f>
        <v>5.4901960784313726</v>
      </c>
      <c r="W55" s="11">
        <f>الجدول1[[#This Row],[C2H2]]/الجدول1[[#This Row],[C2H4]]</f>
        <v>1.948051948051948E-2</v>
      </c>
      <c r="X55" s="11">
        <f>الجدول1[[#This Row],[C2H4]]/الجدول1[[#This Row],[C2H6]]</f>
        <v>2.1388888888888888</v>
      </c>
      <c r="Y55" s="17">
        <f>الجدول1[[#This Row],[CH4]]/الجدول1[[#This Row],[H2]]</f>
        <v>3.5</v>
      </c>
      <c r="Z55" s="3" t="str">
        <f t="shared" ca="1" si="4"/>
        <v xml:space="preserve">0 </v>
      </c>
    </row>
    <row r="56" spans="1:33" ht="24.6" customHeight="1" x14ac:dyDescent="0.2">
      <c r="A56" s="5" t="s">
        <v>47</v>
      </c>
      <c r="B56" s="5" t="s">
        <v>48</v>
      </c>
      <c r="C56" s="6" t="s">
        <v>51</v>
      </c>
      <c r="D56" s="10">
        <v>45306</v>
      </c>
      <c r="E56" s="8" t="str">
        <f t="shared" ca="1" si="5"/>
        <v xml:space="preserve">11  m 1  D </v>
      </c>
      <c r="F56" s="8">
        <v>14314</v>
      </c>
      <c r="G56" s="8">
        <v>62266</v>
      </c>
      <c r="H56" s="11">
        <f>الجدول1[[#This Row],[O2]]/الجدول1[[#This Row],[N2]]</f>
        <v>0.22988468827289371</v>
      </c>
      <c r="I56" s="8">
        <v>74</v>
      </c>
      <c r="J56" s="8">
        <v>3503</v>
      </c>
      <c r="K56" s="8">
        <v>122</v>
      </c>
      <c r="L56" s="8">
        <v>59</v>
      </c>
      <c r="M56" s="12">
        <v>0</v>
      </c>
      <c r="N56" s="8">
        <v>93</v>
      </c>
      <c r="O56" s="8">
        <v>550</v>
      </c>
      <c r="P56" s="8" t="s">
        <v>13</v>
      </c>
      <c r="Q56" s="8" t="s">
        <v>90</v>
      </c>
      <c r="R56" s="8" t="s">
        <v>91</v>
      </c>
      <c r="S56" s="4" t="str">
        <f t="shared" si="3"/>
        <v>غير محدد</v>
      </c>
      <c r="T56" s="2" t="str" cm="1">
        <f t="array" ref="T56">IFERROR(MID(R56,MATCH(TRUE,ISNUMBER(1*MID(R56,ROW($1:$13),1)),0),COUNT(1*MID(R56,ROW($1:$13),1))),"غير محدد")</f>
        <v>غير محدد</v>
      </c>
      <c r="U56" s="13" t="s">
        <v>93</v>
      </c>
      <c r="V56" s="11">
        <f>الجدول1[[#This Row],[CO2]]/الجدول1[[#This Row],[CO]]</f>
        <v>6.3690909090909091</v>
      </c>
      <c r="W56" s="11">
        <f>الجدول1[[#This Row],[C2H2]]/الجدول1[[#This Row],[C2H4]]</f>
        <v>0</v>
      </c>
      <c r="X56" s="11">
        <f>الجدول1[[#This Row],[C2H4]]/الجدول1[[#This Row],[C2H6]]</f>
        <v>2.0677966101694913</v>
      </c>
      <c r="Y56" s="17">
        <f>الجدول1[[#This Row],[CH4]]/الجدول1[[#This Row],[H2]]</f>
        <v>1.2567567567567568</v>
      </c>
      <c r="Z56" s="3" t="str">
        <f t="shared" ca="1" si="4"/>
        <v xml:space="preserve">0 </v>
      </c>
      <c r="AA56" s="1"/>
      <c r="AB56" s="1"/>
      <c r="AC56" s="1"/>
      <c r="AD56" s="1"/>
      <c r="AE56" s="1"/>
      <c r="AF56" s="1"/>
      <c r="AG56" s="1"/>
    </row>
    <row r="57" spans="1:33" ht="24.6" customHeight="1" x14ac:dyDescent="0.2">
      <c r="A57" s="5" t="s">
        <v>47</v>
      </c>
      <c r="B57" s="5" t="s">
        <v>48</v>
      </c>
      <c r="C57" s="6" t="s">
        <v>51</v>
      </c>
      <c r="D57" s="7">
        <v>45306</v>
      </c>
      <c r="E57" s="8" t="str">
        <f t="shared" ca="1" si="5"/>
        <v xml:space="preserve">11  m 1  D </v>
      </c>
      <c r="F57" s="8">
        <v>14314</v>
      </c>
      <c r="G57" s="8">
        <v>62266</v>
      </c>
      <c r="H57" s="11">
        <f>الجدول1[[#This Row],[O2]]/الجدول1[[#This Row],[N2]]</f>
        <v>0.22988468827289371</v>
      </c>
      <c r="I57" s="8">
        <v>74</v>
      </c>
      <c r="J57" s="8">
        <v>3503</v>
      </c>
      <c r="K57" s="8">
        <v>122</v>
      </c>
      <c r="L57" s="8">
        <v>59</v>
      </c>
      <c r="M57" s="12">
        <v>0</v>
      </c>
      <c r="N57" s="8">
        <v>93</v>
      </c>
      <c r="O57" s="8">
        <v>550</v>
      </c>
      <c r="P57" s="8" t="s">
        <v>13</v>
      </c>
      <c r="Q57" s="8" t="s">
        <v>90</v>
      </c>
      <c r="R57" s="8" t="s">
        <v>91</v>
      </c>
      <c r="S57" s="4" t="str">
        <f t="shared" si="3"/>
        <v>غير محدد</v>
      </c>
      <c r="T57" s="2" t="str" cm="1">
        <f t="array" ref="T57">IFERROR(MID(R57,MATCH(TRUE,ISNUMBER(1*MID(R57,ROW($1:$13),1)),0),COUNT(1*MID(R57,ROW($1:$13),1))),"غير محدد")</f>
        <v>غير محدد</v>
      </c>
      <c r="U57" s="8" t="s">
        <v>57</v>
      </c>
      <c r="V57" s="11">
        <f>الجدول1[[#This Row],[CO2]]/الجدول1[[#This Row],[CO]]</f>
        <v>6.3690909090909091</v>
      </c>
      <c r="W57" s="11">
        <f>الجدول1[[#This Row],[C2H2]]/الجدول1[[#This Row],[C2H4]]</f>
        <v>0</v>
      </c>
      <c r="X57" s="11">
        <f>الجدول1[[#This Row],[C2H4]]/الجدول1[[#This Row],[C2H6]]</f>
        <v>2.0677966101694913</v>
      </c>
      <c r="Y57" s="17">
        <f>الجدول1[[#This Row],[CH4]]/الجدول1[[#This Row],[H2]]</f>
        <v>1.2567567567567568</v>
      </c>
      <c r="Z57" s="3" t="str">
        <f t="shared" ca="1" si="4"/>
        <v xml:space="preserve">0 </v>
      </c>
      <c r="AA57" s="1"/>
      <c r="AB57" s="1"/>
      <c r="AC57" s="1"/>
      <c r="AD57" s="1"/>
      <c r="AE57" s="1"/>
      <c r="AF57" s="1"/>
      <c r="AG57" s="1"/>
    </row>
    <row r="58" spans="1:33" s="14" customFormat="1" ht="24.6" customHeight="1" x14ac:dyDescent="0.2">
      <c r="A58" s="5" t="s">
        <v>47</v>
      </c>
      <c r="B58" s="5" t="s">
        <v>24</v>
      </c>
      <c r="C58" s="6" t="s">
        <v>28</v>
      </c>
      <c r="D58" s="7">
        <v>44866</v>
      </c>
      <c r="E58" s="8" t="str">
        <f t="shared" ca="1" si="5"/>
        <v xml:space="preserve">1  m 15  D </v>
      </c>
      <c r="F58" s="8">
        <v>8768</v>
      </c>
      <c r="G58" s="8">
        <v>67730</v>
      </c>
      <c r="H58" s="11">
        <f>الجدول1[[#This Row],[O2]]/الجدول1[[#This Row],[N2]]</f>
        <v>0.12945518972390374</v>
      </c>
      <c r="I58" s="8">
        <v>11</v>
      </c>
      <c r="J58" s="8">
        <v>1105</v>
      </c>
      <c r="K58" s="8">
        <v>2</v>
      </c>
      <c r="L58" s="8">
        <v>6</v>
      </c>
      <c r="M58" s="12">
        <v>0</v>
      </c>
      <c r="N58" s="8">
        <v>3</v>
      </c>
      <c r="O58" s="8">
        <v>1070</v>
      </c>
      <c r="P58" s="8" t="s">
        <v>25</v>
      </c>
      <c r="Q58" s="8">
        <v>2</v>
      </c>
      <c r="R58" s="8" t="s">
        <v>17</v>
      </c>
      <c r="S58" s="4" t="str">
        <f t="shared" si="3"/>
        <v>غير محدد</v>
      </c>
      <c r="T58" s="2" t="str" cm="1">
        <f t="array" ref="T58">IFERROR(MID(R58,MATCH(TRUE,ISNUMBER(1*MID(R58,ROW($1:$13),1)),0),COUNT(1*MID(R58,ROW($1:$13),1))),"غير محدد")</f>
        <v>غير محدد</v>
      </c>
      <c r="U58" s="8" t="s">
        <v>57</v>
      </c>
      <c r="V58" s="11">
        <f>الجدول1[[#This Row],[CO2]]/الجدول1[[#This Row],[CO]]</f>
        <v>1.0327102803738317</v>
      </c>
      <c r="W58" s="11">
        <f>الجدول1[[#This Row],[C2H2]]/الجدول1[[#This Row],[C2H4]]</f>
        <v>0</v>
      </c>
      <c r="X58" s="11">
        <f>الجدول1[[#This Row],[C2H4]]/الجدول1[[#This Row],[C2H6]]</f>
        <v>0.33333333333333331</v>
      </c>
      <c r="Y58" s="17">
        <f>الجدول1[[#This Row],[CH4]]/الجدول1[[#This Row],[H2]]</f>
        <v>0.27272727272727271</v>
      </c>
      <c r="Z58" s="3" t="str">
        <f t="shared" ca="1" si="4"/>
        <v xml:space="preserve">0 </v>
      </c>
    </row>
    <row r="59" spans="1:33" ht="24.6" customHeight="1" x14ac:dyDescent="0.2">
      <c r="A59" s="5" t="s">
        <v>47</v>
      </c>
      <c r="B59" s="5" t="s">
        <v>29</v>
      </c>
      <c r="C59" s="6" t="s">
        <v>28</v>
      </c>
      <c r="D59" s="10">
        <v>44866</v>
      </c>
      <c r="E59" s="8" t="str">
        <f t="shared" ca="1" si="5"/>
        <v xml:space="preserve">1  m 15  D </v>
      </c>
      <c r="F59" s="8">
        <v>7379</v>
      </c>
      <c r="G59" s="8">
        <v>64067</v>
      </c>
      <c r="H59" s="11">
        <f>الجدول1[[#This Row],[O2]]/الجدول1[[#This Row],[N2]]</f>
        <v>0.11517629981113522</v>
      </c>
      <c r="I59" s="8">
        <v>13</v>
      </c>
      <c r="J59" s="8">
        <v>2553</v>
      </c>
      <c r="K59" s="8">
        <v>10</v>
      </c>
      <c r="L59" s="8">
        <v>2</v>
      </c>
      <c r="M59" s="12">
        <v>0</v>
      </c>
      <c r="N59" s="8">
        <v>9</v>
      </c>
      <c r="O59" s="8">
        <v>689</v>
      </c>
      <c r="P59" s="8" t="s">
        <v>13</v>
      </c>
      <c r="Q59" s="8">
        <v>2</v>
      </c>
      <c r="R59" s="8" t="s">
        <v>17</v>
      </c>
      <c r="S59" s="4" t="str">
        <f t="shared" si="3"/>
        <v>غير محدد</v>
      </c>
      <c r="T59" s="2" t="str" cm="1">
        <f t="array" ref="T59">IFERROR(MID(R59,MATCH(TRUE,ISNUMBER(1*MID(R59,ROW($1:$13),1)),0),COUNT(1*MID(R59,ROW($1:$13),1))),"غير محدد")</f>
        <v>غير محدد</v>
      </c>
      <c r="U59" s="13" t="s">
        <v>93</v>
      </c>
      <c r="V59" s="11">
        <f>الجدول1[[#This Row],[CO2]]/الجدول1[[#This Row],[CO]]</f>
        <v>3.7053701015965168</v>
      </c>
      <c r="W59" s="11">
        <f>الجدول1[[#This Row],[C2H2]]/الجدول1[[#This Row],[C2H4]]</f>
        <v>0</v>
      </c>
      <c r="X59" s="11">
        <f>الجدول1[[#This Row],[C2H4]]/الجدول1[[#This Row],[C2H6]]</f>
        <v>5</v>
      </c>
      <c r="Y59" s="17">
        <f>الجدول1[[#This Row],[CH4]]/الجدول1[[#This Row],[H2]]</f>
        <v>0.69230769230769229</v>
      </c>
      <c r="Z59" s="3" t="str">
        <f t="shared" ca="1" si="4"/>
        <v xml:space="preserve">0 </v>
      </c>
      <c r="AA59" s="1"/>
      <c r="AB59" s="1"/>
      <c r="AC59" s="1"/>
      <c r="AD59" s="1"/>
      <c r="AE59" s="1"/>
      <c r="AF59" s="1"/>
      <c r="AG59" s="1"/>
    </row>
    <row r="60" spans="1:33" s="14" customFormat="1" ht="24.6" customHeight="1" x14ac:dyDescent="0.2">
      <c r="A60" s="5" t="s">
        <v>47</v>
      </c>
      <c r="B60" s="5" t="s">
        <v>29</v>
      </c>
      <c r="C60" s="6" t="s">
        <v>28</v>
      </c>
      <c r="D60" s="7">
        <v>45048</v>
      </c>
      <c r="E60" s="8" t="str">
        <f t="shared" ca="1" si="5"/>
        <v xml:space="preserve">7  m 14  D </v>
      </c>
      <c r="F60" s="8">
        <v>2388</v>
      </c>
      <c r="G60" s="8">
        <v>41819</v>
      </c>
      <c r="H60" s="11">
        <f>الجدول1[[#This Row],[O2]]/الجدول1[[#This Row],[N2]]</f>
        <v>5.7103230588966734E-2</v>
      </c>
      <c r="I60" s="8">
        <v>25</v>
      </c>
      <c r="J60" s="8">
        <v>1973</v>
      </c>
      <c r="K60" s="8">
        <v>7</v>
      </c>
      <c r="L60" s="8">
        <v>3</v>
      </c>
      <c r="M60" s="12">
        <v>0</v>
      </c>
      <c r="N60" s="8">
        <v>1</v>
      </c>
      <c r="O60" s="8">
        <v>710</v>
      </c>
      <c r="P60" s="8" t="s">
        <v>13</v>
      </c>
      <c r="Q60" s="8">
        <v>2</v>
      </c>
      <c r="R60" s="8" t="s">
        <v>17</v>
      </c>
      <c r="S60" s="4" t="str">
        <f t="shared" si="3"/>
        <v>غير محدد</v>
      </c>
      <c r="T60" s="2" t="str" cm="1">
        <f t="array" ref="T60">IFERROR(MID(R60,MATCH(TRUE,ISNUMBER(1*MID(R60,ROW($1:$13),1)),0),COUNT(1*MID(R60,ROW($1:$13),1))),"غير محدد")</f>
        <v>غير محدد</v>
      </c>
      <c r="U60" s="8" t="s">
        <v>57</v>
      </c>
      <c r="V60" s="11">
        <f>الجدول1[[#This Row],[CO2]]/الجدول1[[#This Row],[CO]]</f>
        <v>2.7788732394366198</v>
      </c>
      <c r="W60" s="11">
        <f>الجدول1[[#This Row],[C2H2]]/الجدول1[[#This Row],[C2H4]]</f>
        <v>0</v>
      </c>
      <c r="X60" s="11">
        <f>الجدول1[[#This Row],[C2H4]]/الجدول1[[#This Row],[C2H6]]</f>
        <v>2.3333333333333335</v>
      </c>
      <c r="Y60" s="17">
        <f>الجدول1[[#This Row],[CH4]]/الجدول1[[#This Row],[H2]]</f>
        <v>0.04</v>
      </c>
      <c r="Z60" s="3" t="str">
        <f t="shared" ca="1" si="4"/>
        <v xml:space="preserve">0 </v>
      </c>
    </row>
    <row r="61" spans="1:33" ht="24.6" customHeight="1" x14ac:dyDescent="0.2">
      <c r="A61" s="5" t="s">
        <v>47</v>
      </c>
      <c r="B61" s="5" t="s">
        <v>33</v>
      </c>
      <c r="C61" s="6">
        <v>500</v>
      </c>
      <c r="D61" s="10">
        <v>44951</v>
      </c>
      <c r="E61" s="8" t="str">
        <f t="shared" ca="1" si="5"/>
        <v xml:space="preserve">10  m 21  D </v>
      </c>
      <c r="F61" s="8">
        <v>2040</v>
      </c>
      <c r="G61" s="8">
        <v>19025</v>
      </c>
      <c r="H61" s="11">
        <f>الجدول1[[#This Row],[O2]]/الجدول1[[#This Row],[N2]]</f>
        <v>0.10722733245729303</v>
      </c>
      <c r="I61" s="8">
        <v>43</v>
      </c>
      <c r="J61" s="8">
        <v>1840</v>
      </c>
      <c r="K61" s="8">
        <v>1</v>
      </c>
      <c r="L61" s="8">
        <v>2</v>
      </c>
      <c r="M61" s="12">
        <v>0</v>
      </c>
      <c r="N61" s="8">
        <v>2</v>
      </c>
      <c r="O61" s="8">
        <v>202</v>
      </c>
      <c r="P61" s="8" t="s">
        <v>21</v>
      </c>
      <c r="Q61" s="8">
        <v>1</v>
      </c>
      <c r="R61" s="15" t="s">
        <v>22</v>
      </c>
      <c r="S61" s="4" t="str">
        <f t="shared" si="3"/>
        <v>غير محدد</v>
      </c>
      <c r="T61" s="2" t="str" cm="1">
        <f t="array" ref="T61">IFERROR(MID(R61,MATCH(TRUE,ISNUMBER(1*MID(R61,ROW($1:$13),1)),0),COUNT(1*MID(R61,ROW($1:$13),1))),"غير محدد")</f>
        <v>غير محدد</v>
      </c>
      <c r="U61" s="13" t="s">
        <v>93</v>
      </c>
      <c r="V61" s="11">
        <f>الجدول1[[#This Row],[CO2]]/الجدول1[[#This Row],[CO]]</f>
        <v>9.1089108910891081</v>
      </c>
      <c r="W61" s="11">
        <f>الجدول1[[#This Row],[C2H2]]/الجدول1[[#This Row],[C2H4]]</f>
        <v>0</v>
      </c>
      <c r="X61" s="11">
        <f>الجدول1[[#This Row],[C2H4]]/الجدول1[[#This Row],[C2H6]]</f>
        <v>0.5</v>
      </c>
      <c r="Y61" s="17">
        <f>الجدول1[[#This Row],[CH4]]/الجدول1[[#This Row],[H2]]</f>
        <v>4.6511627906976744E-2</v>
      </c>
      <c r="Z61" s="3" t="str">
        <f t="shared" ca="1" si="4"/>
        <v xml:space="preserve">0 </v>
      </c>
      <c r="AA61" s="1"/>
      <c r="AB61" s="1"/>
      <c r="AC61" s="1"/>
      <c r="AD61" s="1"/>
      <c r="AE61" s="1"/>
      <c r="AF61" s="1"/>
      <c r="AG61" s="1"/>
    </row>
    <row r="62" spans="1:33" s="14" customFormat="1" ht="24.6" customHeight="1" x14ac:dyDescent="0.2">
      <c r="A62" s="5" t="s">
        <v>47</v>
      </c>
      <c r="B62" s="5" t="s">
        <v>33</v>
      </c>
      <c r="C62" s="6">
        <v>500</v>
      </c>
      <c r="D62" s="7">
        <v>45230</v>
      </c>
      <c r="E62" s="8" t="str">
        <f t="shared" ca="1" si="5"/>
        <v xml:space="preserve">1  m 15  D </v>
      </c>
      <c r="F62" s="8">
        <v>8427</v>
      </c>
      <c r="G62" s="8">
        <v>107534</v>
      </c>
      <c r="H62" s="11">
        <f>الجدول1[[#This Row],[O2]]/الجدول1[[#This Row],[N2]]</f>
        <v>7.8365912176613914E-2</v>
      </c>
      <c r="I62" s="8">
        <v>390</v>
      </c>
      <c r="J62" s="8">
        <v>11726</v>
      </c>
      <c r="K62" s="8">
        <v>2</v>
      </c>
      <c r="L62" s="8">
        <v>6</v>
      </c>
      <c r="M62" s="12">
        <v>0</v>
      </c>
      <c r="N62" s="8">
        <v>14</v>
      </c>
      <c r="O62" s="8">
        <v>656</v>
      </c>
      <c r="P62" s="8" t="s">
        <v>11</v>
      </c>
      <c r="Q62" s="8" t="s">
        <v>90</v>
      </c>
      <c r="R62" s="15" t="s">
        <v>12</v>
      </c>
      <c r="S62" s="4" t="str">
        <f t="shared" si="3"/>
        <v>غير محدد</v>
      </c>
      <c r="T62" s="2" t="str" cm="1">
        <f t="array" ref="T62">IFERROR(MID(R62,MATCH(TRUE,ISNUMBER(1*MID(R62,ROW($1:$13),1)),0),COUNT(1*MID(R62,ROW($1:$13),1))),"غير محدد")</f>
        <v>غير محدد</v>
      </c>
      <c r="U62" s="8" t="s">
        <v>57</v>
      </c>
      <c r="V62" s="11">
        <f>الجدول1[[#This Row],[CO2]]/الجدول1[[#This Row],[CO]]</f>
        <v>17.875</v>
      </c>
      <c r="W62" s="11">
        <f>الجدول1[[#This Row],[C2H2]]/الجدول1[[#This Row],[C2H4]]</f>
        <v>0</v>
      </c>
      <c r="X62" s="11">
        <f>الجدول1[[#This Row],[C2H4]]/الجدول1[[#This Row],[C2H6]]</f>
        <v>0.33333333333333331</v>
      </c>
      <c r="Y62" s="17">
        <f>الجدول1[[#This Row],[CH4]]/الجدول1[[#This Row],[H2]]</f>
        <v>3.5897435897435895E-2</v>
      </c>
      <c r="Z62" s="3" t="str">
        <f t="shared" ca="1" si="4"/>
        <v xml:space="preserve">0 </v>
      </c>
    </row>
    <row r="63" spans="1:33" ht="24.6" customHeight="1" x14ac:dyDescent="0.2">
      <c r="A63" s="5" t="s">
        <v>47</v>
      </c>
      <c r="B63" s="5" t="s">
        <v>35</v>
      </c>
      <c r="C63" s="6">
        <v>500</v>
      </c>
      <c r="D63" s="10">
        <v>44951</v>
      </c>
      <c r="E63" s="8" t="str">
        <f t="shared" ca="1" si="5"/>
        <v xml:space="preserve">10  m 21  D </v>
      </c>
      <c r="F63" s="8">
        <v>16948</v>
      </c>
      <c r="G63" s="8">
        <v>62184</v>
      </c>
      <c r="H63" s="11">
        <f>الجدول1[[#This Row],[O2]]/الجدول1[[#This Row],[N2]]</f>
        <v>0.2725459925382735</v>
      </c>
      <c r="I63" s="8">
        <v>20</v>
      </c>
      <c r="J63" s="8">
        <v>714</v>
      </c>
      <c r="K63" s="8">
        <v>1</v>
      </c>
      <c r="L63" s="8">
        <v>8</v>
      </c>
      <c r="M63" s="12">
        <v>0</v>
      </c>
      <c r="N63" s="8">
        <v>3</v>
      </c>
      <c r="O63" s="8">
        <v>161</v>
      </c>
      <c r="P63" s="8" t="s">
        <v>21</v>
      </c>
      <c r="Q63" s="8">
        <v>1</v>
      </c>
      <c r="R63" s="15" t="s">
        <v>22</v>
      </c>
      <c r="S63" s="4" t="str">
        <f t="shared" si="3"/>
        <v>غير محدد</v>
      </c>
      <c r="T63" s="2" t="str" cm="1">
        <f t="array" ref="T63">IFERROR(MID(R63,MATCH(TRUE,ISNUMBER(1*MID(R63,ROW($1:$13),1)),0),COUNT(1*MID(R63,ROW($1:$13),1))),"غير محدد")</f>
        <v>غير محدد</v>
      </c>
      <c r="U63" s="13" t="s">
        <v>93</v>
      </c>
      <c r="V63" s="11">
        <f>الجدول1[[#This Row],[CO2]]/الجدول1[[#This Row],[CO]]</f>
        <v>4.4347826086956523</v>
      </c>
      <c r="W63" s="11">
        <f>الجدول1[[#This Row],[C2H2]]/الجدول1[[#This Row],[C2H4]]</f>
        <v>0</v>
      </c>
      <c r="X63" s="11">
        <f>الجدول1[[#This Row],[C2H4]]/الجدول1[[#This Row],[C2H6]]</f>
        <v>0.125</v>
      </c>
      <c r="Y63" s="17">
        <f>الجدول1[[#This Row],[CH4]]/الجدول1[[#This Row],[H2]]</f>
        <v>0.15</v>
      </c>
      <c r="Z63" s="3" t="str">
        <f t="shared" ca="1" si="4"/>
        <v xml:space="preserve">0 </v>
      </c>
      <c r="AA63" s="1"/>
      <c r="AB63" s="1"/>
      <c r="AC63" s="1"/>
      <c r="AD63" s="1"/>
      <c r="AE63" s="1"/>
      <c r="AF63" s="1"/>
      <c r="AG63" s="1"/>
    </row>
    <row r="64" spans="1:33" ht="24.6" customHeight="1" x14ac:dyDescent="0.2">
      <c r="A64" s="5" t="s">
        <v>47</v>
      </c>
      <c r="B64" s="5" t="s">
        <v>35</v>
      </c>
      <c r="C64" s="6">
        <v>500</v>
      </c>
      <c r="D64" s="7">
        <v>45230</v>
      </c>
      <c r="E64" s="8" t="str">
        <f t="shared" ca="1" si="5"/>
        <v xml:space="preserve">1  m 15  D </v>
      </c>
      <c r="F64" s="8">
        <v>5533</v>
      </c>
      <c r="G64" s="8">
        <v>121130</v>
      </c>
      <c r="H64" s="11">
        <f>الجدول1[[#This Row],[O2]]/الجدول1[[#This Row],[N2]]</f>
        <v>4.5678196978452899E-2</v>
      </c>
      <c r="I64" s="8">
        <v>261</v>
      </c>
      <c r="J64" s="8">
        <v>13423</v>
      </c>
      <c r="K64" s="8">
        <v>5</v>
      </c>
      <c r="L64" s="8">
        <v>17</v>
      </c>
      <c r="M64" s="12">
        <v>0</v>
      </c>
      <c r="N64" s="8">
        <v>12</v>
      </c>
      <c r="O64" s="8">
        <v>825</v>
      </c>
      <c r="P64" s="8" t="s">
        <v>25</v>
      </c>
      <c r="Q64" s="8" t="s">
        <v>90</v>
      </c>
      <c r="R64" s="15" t="s">
        <v>12</v>
      </c>
      <c r="S64" s="4" t="str">
        <f t="shared" si="3"/>
        <v>غير محدد</v>
      </c>
      <c r="T64" s="2" t="str" cm="1">
        <f t="array" ref="T64">IFERROR(MID(R64,MATCH(TRUE,ISNUMBER(1*MID(R64,ROW($1:$13),1)),0),COUNT(1*MID(R64,ROW($1:$13),1))),"غير محدد")</f>
        <v>غير محدد</v>
      </c>
      <c r="U64" s="13" t="s">
        <v>57</v>
      </c>
      <c r="V64" s="11">
        <f>الجدول1[[#This Row],[CO2]]/الجدول1[[#This Row],[CO]]</f>
        <v>16.27030303030303</v>
      </c>
      <c r="W64" s="11">
        <f>الجدول1[[#This Row],[C2H2]]/الجدول1[[#This Row],[C2H4]]</f>
        <v>0</v>
      </c>
      <c r="X64" s="11">
        <f>الجدول1[[#This Row],[C2H4]]/الجدول1[[#This Row],[C2H6]]</f>
        <v>0.29411764705882354</v>
      </c>
      <c r="Y64" s="17">
        <f>الجدول1[[#This Row],[CH4]]/الجدول1[[#This Row],[H2]]</f>
        <v>4.5977011494252873E-2</v>
      </c>
      <c r="Z64" s="3" t="str">
        <f t="shared" ca="1" si="4"/>
        <v xml:space="preserve">0 </v>
      </c>
      <c r="AA64" s="1"/>
      <c r="AB64" s="1"/>
      <c r="AC64" s="1"/>
      <c r="AD64" s="1"/>
      <c r="AE64" s="1"/>
      <c r="AF64" s="1"/>
      <c r="AG64" s="1"/>
    </row>
    <row r="65" spans="1:33" s="14" customFormat="1" ht="24.6" customHeight="1" x14ac:dyDescent="0.2">
      <c r="A65" s="5" t="s">
        <v>47</v>
      </c>
      <c r="B65" s="5" t="s">
        <v>121</v>
      </c>
      <c r="C65" s="6">
        <v>500</v>
      </c>
      <c r="D65" s="7">
        <v>45230</v>
      </c>
      <c r="E65" s="8" t="str">
        <f t="shared" ca="1" si="5"/>
        <v xml:space="preserve">1  m 15  D </v>
      </c>
      <c r="F65" s="8">
        <v>2943</v>
      </c>
      <c r="G65" s="8">
        <v>130204</v>
      </c>
      <c r="H65" s="11">
        <f>الجدول1[[#This Row],[O2]]/الجدول1[[#This Row],[N2]]</f>
        <v>2.2602992227581335E-2</v>
      </c>
      <c r="I65" s="8">
        <v>139</v>
      </c>
      <c r="J65" s="8">
        <v>14793</v>
      </c>
      <c r="K65" s="8">
        <v>11</v>
      </c>
      <c r="L65" s="8">
        <v>12</v>
      </c>
      <c r="M65" s="12">
        <v>0</v>
      </c>
      <c r="N65" s="8">
        <v>10</v>
      </c>
      <c r="O65" s="8">
        <v>954</v>
      </c>
      <c r="P65" s="8" t="s">
        <v>25</v>
      </c>
      <c r="Q65" s="8" t="s">
        <v>90</v>
      </c>
      <c r="R65" s="15" t="s">
        <v>12</v>
      </c>
      <c r="S65" s="4" t="str">
        <f t="shared" si="3"/>
        <v>غير محدد</v>
      </c>
      <c r="T65" s="2" t="str" cm="1">
        <f t="array" ref="T65">IFERROR(MID(R65,MATCH(TRUE,ISNUMBER(1*MID(R65,ROW($1:$13),1)),0),COUNT(1*MID(R65,ROW($1:$13),1))),"غير محدد")</f>
        <v>غير محدد</v>
      </c>
      <c r="U65" s="13" t="s">
        <v>57</v>
      </c>
      <c r="V65" s="11">
        <f>الجدول1[[#This Row],[CO2]]/الجدول1[[#This Row],[CO]]</f>
        <v>15.5062893081761</v>
      </c>
      <c r="W65" s="11">
        <f>الجدول1[[#This Row],[C2H2]]/الجدول1[[#This Row],[C2H4]]</f>
        <v>0</v>
      </c>
      <c r="X65" s="11">
        <f>الجدول1[[#This Row],[C2H4]]/الجدول1[[#This Row],[C2H6]]</f>
        <v>0.91666666666666663</v>
      </c>
      <c r="Y65" s="11">
        <f>الجدول1[[#This Row],[CH4]]/الجدول1[[#This Row],[H2]]</f>
        <v>7.1942446043165464E-2</v>
      </c>
      <c r="Z65" s="3" t="str">
        <f t="shared" ca="1" si="4"/>
        <v xml:space="preserve">0 </v>
      </c>
    </row>
    <row r="66" spans="1:33" s="14" customFormat="1" ht="24.6" customHeight="1" x14ac:dyDescent="0.2">
      <c r="A66" s="5" t="s">
        <v>47</v>
      </c>
      <c r="B66" s="5" t="s">
        <v>34</v>
      </c>
      <c r="C66" s="6">
        <v>500</v>
      </c>
      <c r="D66" s="10">
        <v>44866</v>
      </c>
      <c r="E66" s="8" t="str">
        <f t="shared" ca="1" si="5"/>
        <v xml:space="preserve">1  m 15  D </v>
      </c>
      <c r="F66" s="8">
        <v>15715</v>
      </c>
      <c r="G66" s="8">
        <v>56390</v>
      </c>
      <c r="H66" s="11">
        <f>الجدول1[[#This Row],[O2]]/الجدول1[[#This Row],[N2]]</f>
        <v>0.27868416385884021</v>
      </c>
      <c r="I66" s="8">
        <v>49</v>
      </c>
      <c r="J66" s="8">
        <v>9738</v>
      </c>
      <c r="K66" s="8">
        <v>4</v>
      </c>
      <c r="L66" s="8">
        <v>6</v>
      </c>
      <c r="M66" s="12">
        <v>0</v>
      </c>
      <c r="N66" s="8">
        <v>6</v>
      </c>
      <c r="O66" s="8">
        <v>705</v>
      </c>
      <c r="P66" s="8" t="s">
        <v>25</v>
      </c>
      <c r="Q66" s="8">
        <v>2</v>
      </c>
      <c r="R66" s="15" t="s">
        <v>12</v>
      </c>
      <c r="S66" s="4" t="str">
        <f t="shared" ref="S66:S97" si="6">IFERROR(IF(T66&gt;=1,EDATE(D66,T66),"غير محدد"),"غير محدد")</f>
        <v>غير محدد</v>
      </c>
      <c r="T66" s="2" t="str" cm="1">
        <f t="array" ref="T66">IFERROR(MID(R66,MATCH(TRUE,ISNUMBER(1*MID(R66,ROW($1:$13),1)),0),COUNT(1*MID(R66,ROW($1:$13),1))),"غير محدد")</f>
        <v>غير محدد</v>
      </c>
      <c r="U66" s="13" t="s">
        <v>93</v>
      </c>
      <c r="V66" s="11">
        <f>الجدول1[[#This Row],[CO2]]/الجدول1[[#This Row],[CO]]</f>
        <v>13.812765957446809</v>
      </c>
      <c r="W66" s="11">
        <f>الجدول1[[#This Row],[C2H2]]/الجدول1[[#This Row],[C2H4]]</f>
        <v>0</v>
      </c>
      <c r="X66" s="11">
        <f>الجدول1[[#This Row],[C2H4]]/الجدول1[[#This Row],[C2H6]]</f>
        <v>0.66666666666666663</v>
      </c>
      <c r="Y66" s="17">
        <f>الجدول1[[#This Row],[CH4]]/الجدول1[[#This Row],[H2]]</f>
        <v>0.12244897959183673</v>
      </c>
      <c r="Z66" s="3" t="str">
        <f t="shared" ref="Z66:Z97" ca="1" si="7">IFERROR(DATEDIF(S66,TODAY(),"MD") &amp; "   ","0 ")</f>
        <v xml:space="preserve">0 </v>
      </c>
    </row>
    <row r="67" spans="1:33" ht="24.6" customHeight="1" x14ac:dyDescent="0.2">
      <c r="A67" s="5" t="s">
        <v>47</v>
      </c>
      <c r="B67" s="5" t="s">
        <v>34</v>
      </c>
      <c r="C67" s="6">
        <v>500</v>
      </c>
      <c r="D67" s="10">
        <v>44951</v>
      </c>
      <c r="E67" s="8" t="str">
        <f t="shared" ca="1" si="5"/>
        <v xml:space="preserve">10  m 21  D </v>
      </c>
      <c r="F67" s="8">
        <v>2234</v>
      </c>
      <c r="G67" s="8">
        <v>31407</v>
      </c>
      <c r="H67" s="11">
        <f>الجدول1[[#This Row],[O2]]/الجدول1[[#This Row],[N2]]</f>
        <v>7.1130639666316428E-2</v>
      </c>
      <c r="I67" s="8">
        <v>33</v>
      </c>
      <c r="J67" s="8">
        <v>3001</v>
      </c>
      <c r="K67" s="8">
        <v>7</v>
      </c>
      <c r="L67" s="8">
        <v>6</v>
      </c>
      <c r="M67" s="12">
        <v>0</v>
      </c>
      <c r="N67" s="8">
        <v>1</v>
      </c>
      <c r="O67" s="8">
        <v>288</v>
      </c>
      <c r="P67" s="8" t="s">
        <v>21</v>
      </c>
      <c r="Q67" s="8">
        <v>1</v>
      </c>
      <c r="R67" s="15" t="s">
        <v>22</v>
      </c>
      <c r="S67" s="4" t="str">
        <f t="shared" si="6"/>
        <v>غير محدد</v>
      </c>
      <c r="T67" s="2" t="str" cm="1">
        <f t="array" ref="T67">IFERROR(MID(R67,MATCH(TRUE,ISNUMBER(1*MID(R67,ROW($1:$13),1)),0),COUNT(1*MID(R67,ROW($1:$13),1))),"غير محدد")</f>
        <v>غير محدد</v>
      </c>
      <c r="U67" s="13" t="s">
        <v>93</v>
      </c>
      <c r="V67" s="11">
        <f>الجدول1[[#This Row],[CO2]]/الجدول1[[#This Row],[CO]]</f>
        <v>10.420138888888889</v>
      </c>
      <c r="W67" s="11">
        <f>الجدول1[[#This Row],[C2H2]]/الجدول1[[#This Row],[C2H4]]</f>
        <v>0</v>
      </c>
      <c r="X67" s="11">
        <f>الجدول1[[#This Row],[C2H4]]/الجدول1[[#This Row],[C2H6]]</f>
        <v>1.1666666666666667</v>
      </c>
      <c r="Y67" s="17">
        <f>الجدول1[[#This Row],[CH4]]/الجدول1[[#This Row],[H2]]</f>
        <v>3.0303030303030304E-2</v>
      </c>
      <c r="Z67" s="3" t="str">
        <f t="shared" ca="1" si="7"/>
        <v xml:space="preserve">0 </v>
      </c>
      <c r="AA67" s="1"/>
      <c r="AB67" s="1"/>
      <c r="AC67" s="1"/>
      <c r="AD67" s="1"/>
      <c r="AE67" s="1"/>
      <c r="AF67" s="1"/>
      <c r="AG67" s="1"/>
    </row>
    <row r="68" spans="1:33" s="14" customFormat="1" ht="24.6" customHeight="1" x14ac:dyDescent="0.2">
      <c r="A68" s="5" t="s">
        <v>47</v>
      </c>
      <c r="B68" s="5" t="s">
        <v>34</v>
      </c>
      <c r="C68" s="6">
        <v>500</v>
      </c>
      <c r="D68" s="7">
        <v>45230</v>
      </c>
      <c r="E68" s="8" t="str">
        <f t="shared" ca="1" si="5"/>
        <v xml:space="preserve">1  m 15  D </v>
      </c>
      <c r="F68" s="8">
        <v>9662</v>
      </c>
      <c r="G68" s="8">
        <v>122880</v>
      </c>
      <c r="H68" s="11">
        <f>الجدول1[[#This Row],[O2]]/الجدول1[[#This Row],[N2]]</f>
        <v>7.8629557291666666E-2</v>
      </c>
      <c r="I68" s="8">
        <v>195</v>
      </c>
      <c r="J68" s="8">
        <v>13063</v>
      </c>
      <c r="K68" s="8">
        <v>2</v>
      </c>
      <c r="L68" s="8">
        <v>4</v>
      </c>
      <c r="M68" s="12">
        <v>0</v>
      </c>
      <c r="N68" s="8">
        <v>3</v>
      </c>
      <c r="O68" s="8">
        <v>670</v>
      </c>
      <c r="P68" s="8" t="s">
        <v>25</v>
      </c>
      <c r="Q68" s="8" t="s">
        <v>90</v>
      </c>
      <c r="R68" s="15" t="s">
        <v>12</v>
      </c>
      <c r="S68" s="4" t="str">
        <f t="shared" si="6"/>
        <v>غير محدد</v>
      </c>
      <c r="T68" s="2" t="str" cm="1">
        <f t="array" ref="T68">IFERROR(MID(R68,MATCH(TRUE,ISNUMBER(1*MID(R68,ROW($1:$13),1)),0),COUNT(1*MID(R68,ROW($1:$13),1))),"غير محدد")</f>
        <v>غير محدد</v>
      </c>
      <c r="U68" s="8" t="s">
        <v>57</v>
      </c>
      <c r="V68" s="11">
        <f>الجدول1[[#This Row],[CO2]]/الجدول1[[#This Row],[CO]]</f>
        <v>19.497014925373133</v>
      </c>
      <c r="W68" s="11">
        <f>الجدول1[[#This Row],[C2H2]]/الجدول1[[#This Row],[C2H4]]</f>
        <v>0</v>
      </c>
      <c r="X68" s="11">
        <f>الجدول1[[#This Row],[C2H4]]/الجدول1[[#This Row],[C2H6]]</f>
        <v>0.5</v>
      </c>
      <c r="Y68" s="11">
        <f>الجدول1[[#This Row],[CH4]]/الجدول1[[#This Row],[H2]]</f>
        <v>1.5384615384615385E-2</v>
      </c>
      <c r="Z68" s="3" t="str">
        <f t="shared" ca="1" si="7"/>
        <v xml:space="preserve">0 </v>
      </c>
    </row>
    <row r="69" spans="1:33" s="14" customFormat="1" ht="24.6" customHeight="1" x14ac:dyDescent="0.2">
      <c r="A69" s="5" t="s">
        <v>47</v>
      </c>
      <c r="B69" s="5" t="s">
        <v>36</v>
      </c>
      <c r="C69" s="6">
        <v>500</v>
      </c>
      <c r="D69" s="10">
        <v>44866</v>
      </c>
      <c r="E69" s="8" t="str">
        <f t="shared" ca="1" si="5"/>
        <v xml:space="preserve">1  m 15  D </v>
      </c>
      <c r="F69" s="8">
        <v>11230</v>
      </c>
      <c r="G69" s="8">
        <v>54241</v>
      </c>
      <c r="H69" s="11">
        <f>الجدول1[[#This Row],[O2]]/الجدول1[[#This Row],[N2]]</f>
        <v>0.20703895577146439</v>
      </c>
      <c r="I69" s="8">
        <v>93</v>
      </c>
      <c r="J69" s="8">
        <v>11070</v>
      </c>
      <c r="K69" s="8">
        <v>2</v>
      </c>
      <c r="L69" s="8">
        <v>7</v>
      </c>
      <c r="M69" s="12">
        <v>0</v>
      </c>
      <c r="N69" s="8">
        <v>7</v>
      </c>
      <c r="O69" s="8">
        <v>783</v>
      </c>
      <c r="P69" s="8" t="s">
        <v>25</v>
      </c>
      <c r="Q69" s="8">
        <v>2</v>
      </c>
      <c r="R69" s="15" t="s">
        <v>12</v>
      </c>
      <c r="S69" s="4" t="str">
        <f t="shared" si="6"/>
        <v>غير محدد</v>
      </c>
      <c r="T69" s="2" t="str" cm="1">
        <f t="array" ref="T69">IFERROR(MID(R69,MATCH(TRUE,ISNUMBER(1*MID(R69,ROW($1:$13),1)),0),COUNT(1*MID(R69,ROW($1:$13),1))),"غير محدد")</f>
        <v>غير محدد</v>
      </c>
      <c r="U69" s="13" t="s">
        <v>93</v>
      </c>
      <c r="V69" s="11">
        <f>الجدول1[[#This Row],[CO2]]/الجدول1[[#This Row],[CO]]</f>
        <v>14.137931034482758</v>
      </c>
      <c r="W69" s="11">
        <f>الجدول1[[#This Row],[C2H2]]/الجدول1[[#This Row],[C2H4]]</f>
        <v>0</v>
      </c>
      <c r="X69" s="11">
        <f>الجدول1[[#This Row],[C2H4]]/الجدول1[[#This Row],[C2H6]]</f>
        <v>0.2857142857142857</v>
      </c>
      <c r="Y69" s="17">
        <f>الجدول1[[#This Row],[CH4]]/الجدول1[[#This Row],[H2]]</f>
        <v>7.5268817204301078E-2</v>
      </c>
      <c r="Z69" s="3" t="str">
        <f t="shared" ca="1" si="7"/>
        <v xml:space="preserve">0 </v>
      </c>
    </row>
    <row r="70" spans="1:33" ht="24.6" customHeight="1" x14ac:dyDescent="0.2">
      <c r="A70" s="5" t="s">
        <v>47</v>
      </c>
      <c r="B70" s="5" t="s">
        <v>36</v>
      </c>
      <c r="C70" s="6">
        <v>500</v>
      </c>
      <c r="D70" s="10">
        <v>44951</v>
      </c>
      <c r="E70" s="8" t="str">
        <f t="shared" ca="1" si="5"/>
        <v xml:space="preserve">10  m 21  D </v>
      </c>
      <c r="F70" s="8">
        <v>5477</v>
      </c>
      <c r="G70" s="8">
        <v>21158</v>
      </c>
      <c r="H70" s="11">
        <f>الجدول1[[#This Row],[O2]]/الجدول1[[#This Row],[N2]]</f>
        <v>0.25886189620947159</v>
      </c>
      <c r="I70" s="8">
        <v>20</v>
      </c>
      <c r="J70" s="8">
        <v>1868</v>
      </c>
      <c r="K70" s="8">
        <v>2</v>
      </c>
      <c r="L70" s="8">
        <v>4</v>
      </c>
      <c r="M70" s="12">
        <v>0</v>
      </c>
      <c r="N70" s="8">
        <v>2</v>
      </c>
      <c r="O70" s="8">
        <v>84</v>
      </c>
      <c r="P70" s="8" t="s">
        <v>21</v>
      </c>
      <c r="Q70" s="8">
        <v>1</v>
      </c>
      <c r="R70" s="15" t="s">
        <v>22</v>
      </c>
      <c r="S70" s="4" t="str">
        <f t="shared" si="6"/>
        <v>غير محدد</v>
      </c>
      <c r="T70" s="2" t="str" cm="1">
        <f t="array" ref="T70">IFERROR(MID(R70,MATCH(TRUE,ISNUMBER(1*MID(R70,ROW($1:$13),1)),0),COUNT(1*MID(R70,ROW($1:$13),1))),"غير محدد")</f>
        <v>غير محدد</v>
      </c>
      <c r="U70" s="13" t="s">
        <v>93</v>
      </c>
      <c r="V70" s="11">
        <f>الجدول1[[#This Row],[CO2]]/الجدول1[[#This Row],[CO]]</f>
        <v>22.238095238095237</v>
      </c>
      <c r="W70" s="11">
        <f>الجدول1[[#This Row],[C2H2]]/الجدول1[[#This Row],[C2H4]]</f>
        <v>0</v>
      </c>
      <c r="X70" s="11">
        <f>الجدول1[[#This Row],[C2H4]]/الجدول1[[#This Row],[C2H6]]</f>
        <v>0.5</v>
      </c>
      <c r="Y70" s="17">
        <f>الجدول1[[#This Row],[CH4]]/الجدول1[[#This Row],[H2]]</f>
        <v>0.1</v>
      </c>
      <c r="Z70" s="3" t="str">
        <f t="shared" ca="1" si="7"/>
        <v xml:space="preserve">0 </v>
      </c>
      <c r="AA70" s="1"/>
      <c r="AB70" s="1"/>
      <c r="AC70" s="1"/>
      <c r="AD70" s="1"/>
      <c r="AE70" s="1"/>
      <c r="AF70" s="1"/>
      <c r="AG70" s="1"/>
    </row>
    <row r="71" spans="1:33" s="14" customFormat="1" ht="24.6" customHeight="1" x14ac:dyDescent="0.2">
      <c r="A71" s="5" t="s">
        <v>47</v>
      </c>
      <c r="B71" s="5" t="s">
        <v>147</v>
      </c>
      <c r="C71" s="6">
        <v>500</v>
      </c>
      <c r="D71" s="7">
        <v>45306</v>
      </c>
      <c r="E71" s="8" t="str">
        <f t="shared" ca="1" si="5"/>
        <v xml:space="preserve">11  m 1  D </v>
      </c>
      <c r="F71" s="8">
        <v>6033</v>
      </c>
      <c r="G71" s="8">
        <v>71076</v>
      </c>
      <c r="H71" s="11">
        <f>الجدول1[[#This Row],[O2]]/الجدول1[[#This Row],[N2]]</f>
        <v>8.4880972480162076E-2</v>
      </c>
      <c r="I71" s="8">
        <v>82</v>
      </c>
      <c r="J71" s="8">
        <v>6498</v>
      </c>
      <c r="K71" s="8">
        <v>3</v>
      </c>
      <c r="L71" s="8">
        <v>6</v>
      </c>
      <c r="M71" s="12">
        <v>0</v>
      </c>
      <c r="N71" s="8">
        <v>8</v>
      </c>
      <c r="O71" s="8">
        <v>778</v>
      </c>
      <c r="P71" s="8" t="s">
        <v>25</v>
      </c>
      <c r="Q71" s="8" t="s">
        <v>90</v>
      </c>
      <c r="R71" s="15" t="s">
        <v>12</v>
      </c>
      <c r="S71" s="4" t="str">
        <f t="shared" si="6"/>
        <v>غير محدد</v>
      </c>
      <c r="T71" s="2" t="str" cm="1">
        <f t="array" ref="T71">IFERROR(MID(R71,MATCH(TRUE,ISNUMBER(1*MID(R71,ROW($1:$13),1)),0),COUNT(1*MID(R71,ROW($1:$13),1))),"غير محدد")</f>
        <v>غير محدد</v>
      </c>
      <c r="U71" s="8" t="s">
        <v>57</v>
      </c>
      <c r="V71" s="11">
        <f>الجدول1[[#This Row],[CO2]]/الجدول1[[#This Row],[CO]]</f>
        <v>8.3521850899742933</v>
      </c>
      <c r="W71" s="11">
        <f>الجدول1[[#This Row],[C2H2]]/الجدول1[[#This Row],[C2H4]]</f>
        <v>0</v>
      </c>
      <c r="X71" s="11">
        <f>الجدول1[[#This Row],[C2H4]]/الجدول1[[#This Row],[C2H6]]</f>
        <v>0.5</v>
      </c>
      <c r="Y71" s="17">
        <f>الجدول1[[#This Row],[CH4]]/الجدول1[[#This Row],[H2]]</f>
        <v>9.7560975609756101E-2</v>
      </c>
      <c r="Z71" s="3" t="str">
        <f t="shared" ca="1" si="7"/>
        <v xml:space="preserve">0 </v>
      </c>
    </row>
    <row r="72" spans="1:33" ht="24.6" customHeight="1" x14ac:dyDescent="0.2">
      <c r="A72" s="5" t="s">
        <v>47</v>
      </c>
      <c r="B72" s="5" t="s">
        <v>123</v>
      </c>
      <c r="C72" s="6">
        <v>500</v>
      </c>
      <c r="D72" s="10">
        <v>45230</v>
      </c>
      <c r="E72" s="8" t="str">
        <f t="shared" ca="1" si="5"/>
        <v xml:space="preserve">1  m 15  D </v>
      </c>
      <c r="F72" s="8">
        <v>7329</v>
      </c>
      <c r="G72" s="8">
        <v>124343</v>
      </c>
      <c r="H72" s="11">
        <f>الجدول1[[#This Row],[O2]]/الجدول1[[#This Row],[N2]]</f>
        <v>5.8941798090765059E-2</v>
      </c>
      <c r="I72" s="8">
        <v>92</v>
      </c>
      <c r="J72" s="8">
        <v>14251</v>
      </c>
      <c r="K72" s="8">
        <v>7</v>
      </c>
      <c r="L72" s="8">
        <v>9</v>
      </c>
      <c r="M72" s="12">
        <v>0</v>
      </c>
      <c r="N72" s="8">
        <v>7</v>
      </c>
      <c r="O72" s="8">
        <v>1106</v>
      </c>
      <c r="P72" s="8" t="s">
        <v>21</v>
      </c>
      <c r="Q72" s="8">
        <v>1</v>
      </c>
      <c r="R72" s="15" t="s">
        <v>22</v>
      </c>
      <c r="S72" s="4" t="str">
        <f t="shared" si="6"/>
        <v>غير محدد</v>
      </c>
      <c r="T72" s="2" t="str" cm="1">
        <f t="array" ref="T72">IFERROR(MID(R72,MATCH(TRUE,ISNUMBER(1*MID(R72,ROW($1:$13),1)),0),COUNT(1*MID(R72,ROW($1:$13),1))),"غير محدد")</f>
        <v>غير محدد</v>
      </c>
      <c r="U72" s="13" t="s">
        <v>93</v>
      </c>
      <c r="V72" s="11">
        <f>الجدول1[[#This Row],[CO2]]/الجدول1[[#This Row],[CO]]</f>
        <v>12.885171790235081</v>
      </c>
      <c r="W72" s="11">
        <f>الجدول1[[#This Row],[C2H2]]/الجدول1[[#This Row],[C2H4]]</f>
        <v>0</v>
      </c>
      <c r="X72" s="11">
        <f>الجدول1[[#This Row],[C2H4]]/الجدول1[[#This Row],[C2H6]]</f>
        <v>0.77777777777777779</v>
      </c>
      <c r="Y72" s="17">
        <f>الجدول1[[#This Row],[CH4]]/الجدول1[[#This Row],[H2]]</f>
        <v>7.6086956521739135E-2</v>
      </c>
      <c r="Z72" s="3" t="str">
        <f t="shared" ca="1" si="7"/>
        <v xml:space="preserve">0 </v>
      </c>
      <c r="AA72" s="1"/>
      <c r="AB72" s="1"/>
      <c r="AC72" s="1"/>
      <c r="AD72" s="1"/>
      <c r="AE72" s="1"/>
      <c r="AF72" s="1"/>
      <c r="AG72" s="1"/>
    </row>
    <row r="73" spans="1:33" ht="24.6" customHeight="1" x14ac:dyDescent="0.2">
      <c r="A73" s="5" t="s">
        <v>47</v>
      </c>
      <c r="B73" s="5" t="s">
        <v>123</v>
      </c>
      <c r="C73" s="6">
        <v>500</v>
      </c>
      <c r="D73" s="7">
        <v>45306</v>
      </c>
      <c r="E73" s="8" t="str">
        <f t="shared" ca="1" si="5"/>
        <v xml:space="preserve">11  m 1  D </v>
      </c>
      <c r="F73" s="8">
        <v>11006</v>
      </c>
      <c r="G73" s="8">
        <v>74207</v>
      </c>
      <c r="H73" s="11">
        <f>الجدول1[[#This Row],[O2]]/الجدول1[[#This Row],[N2]]</f>
        <v>0.14831484900346328</v>
      </c>
      <c r="I73" s="8">
        <v>118</v>
      </c>
      <c r="J73" s="8">
        <v>7470</v>
      </c>
      <c r="K73" s="8">
        <v>3</v>
      </c>
      <c r="L73" s="8">
        <v>4</v>
      </c>
      <c r="M73" s="12">
        <v>0</v>
      </c>
      <c r="N73" s="8">
        <v>4</v>
      </c>
      <c r="O73" s="8">
        <v>746</v>
      </c>
      <c r="P73" s="8" t="s">
        <v>25</v>
      </c>
      <c r="Q73" s="8" t="s">
        <v>90</v>
      </c>
      <c r="R73" s="15" t="s">
        <v>91</v>
      </c>
      <c r="S73" s="4" t="str">
        <f t="shared" si="6"/>
        <v>غير محدد</v>
      </c>
      <c r="T73" s="2" t="str" cm="1">
        <f t="array" ref="T73">IFERROR(MID(R73,MATCH(TRUE,ISNUMBER(1*MID(R73,ROW($1:$13),1)),0),COUNT(1*MID(R73,ROW($1:$13),1))),"غير محدد")</f>
        <v>غير محدد</v>
      </c>
      <c r="U73" s="8" t="s">
        <v>57</v>
      </c>
      <c r="V73" s="11">
        <f>الجدول1[[#This Row],[CO2]]/الجدول1[[#This Row],[CO]]</f>
        <v>10.013404825737265</v>
      </c>
      <c r="W73" s="11">
        <f>الجدول1[[#This Row],[C2H2]]/الجدول1[[#This Row],[C2H4]]</f>
        <v>0</v>
      </c>
      <c r="X73" s="11">
        <f>الجدول1[[#This Row],[C2H4]]/الجدول1[[#This Row],[C2H6]]</f>
        <v>0.75</v>
      </c>
      <c r="Y73" s="17">
        <f>الجدول1[[#This Row],[CH4]]/الجدول1[[#This Row],[H2]]</f>
        <v>3.3898305084745763E-2</v>
      </c>
      <c r="Z73" s="3" t="str">
        <f t="shared" ca="1" si="7"/>
        <v xml:space="preserve">0 </v>
      </c>
      <c r="AA73" s="1"/>
      <c r="AB73" s="1"/>
      <c r="AC73" s="1"/>
      <c r="AD73" s="1"/>
      <c r="AE73" s="1"/>
      <c r="AF73" s="1"/>
      <c r="AG73" s="1"/>
    </row>
    <row r="74" spans="1:33" s="14" customFormat="1" ht="24.6" customHeight="1" x14ac:dyDescent="0.2">
      <c r="A74" s="5" t="s">
        <v>47</v>
      </c>
      <c r="B74" s="5" t="s">
        <v>148</v>
      </c>
      <c r="C74" s="6">
        <v>500</v>
      </c>
      <c r="D74" s="7">
        <v>45306</v>
      </c>
      <c r="E74" s="8" t="str">
        <f t="shared" ca="1" si="5"/>
        <v xml:space="preserve">11  m 1  D </v>
      </c>
      <c r="F74" s="8">
        <v>22116</v>
      </c>
      <c r="G74" s="8">
        <v>78018</v>
      </c>
      <c r="H74" s="11">
        <f>الجدول1[[#This Row],[O2]]/الجدول1[[#This Row],[N2]]</f>
        <v>0.28347304468199647</v>
      </c>
      <c r="I74" s="8">
        <v>122</v>
      </c>
      <c r="J74" s="8">
        <v>6354</v>
      </c>
      <c r="K74" s="8">
        <v>3</v>
      </c>
      <c r="L74" s="8">
        <v>4</v>
      </c>
      <c r="M74" s="12">
        <v>0</v>
      </c>
      <c r="N74" s="8">
        <v>2</v>
      </c>
      <c r="O74" s="8">
        <v>490</v>
      </c>
      <c r="P74" s="8" t="s">
        <v>13</v>
      </c>
      <c r="Q74" s="8" t="s">
        <v>90</v>
      </c>
      <c r="R74" s="15" t="s">
        <v>91</v>
      </c>
      <c r="S74" s="4" t="str">
        <f t="shared" si="6"/>
        <v>غير محدد</v>
      </c>
      <c r="T74" s="2" t="str" cm="1">
        <f t="array" ref="T74">IFERROR(MID(R74,MATCH(TRUE,ISNUMBER(1*MID(R74,ROW($1:$13),1)),0),COUNT(1*MID(R74,ROW($1:$13),1))),"غير محدد")</f>
        <v>غير محدد</v>
      </c>
      <c r="U74" s="8" t="s">
        <v>57</v>
      </c>
      <c r="V74" s="11">
        <f>الجدول1[[#This Row],[CO2]]/الجدول1[[#This Row],[CO]]</f>
        <v>12.96734693877551</v>
      </c>
      <c r="W74" s="11">
        <f>الجدول1[[#This Row],[C2H2]]/الجدول1[[#This Row],[C2H4]]</f>
        <v>0</v>
      </c>
      <c r="X74" s="11">
        <f>الجدول1[[#This Row],[C2H4]]/الجدول1[[#This Row],[C2H6]]</f>
        <v>0.75</v>
      </c>
      <c r="Y74" s="17">
        <f>الجدول1[[#This Row],[CH4]]/الجدول1[[#This Row],[H2]]</f>
        <v>1.6393442622950821E-2</v>
      </c>
      <c r="Z74" s="3" t="str">
        <f t="shared" ca="1" si="7"/>
        <v xml:space="preserve">0 </v>
      </c>
    </row>
    <row r="75" spans="1:33" s="14" customFormat="1" ht="24.6" customHeight="1" x14ac:dyDescent="0.2">
      <c r="A75" s="5" t="s">
        <v>47</v>
      </c>
      <c r="B75" s="5" t="s">
        <v>31</v>
      </c>
      <c r="C75" s="6" t="s">
        <v>27</v>
      </c>
      <c r="D75" s="10">
        <v>44866</v>
      </c>
      <c r="E75" s="8" t="str">
        <f t="shared" ca="1" si="5"/>
        <v xml:space="preserve">1  m 15  D </v>
      </c>
      <c r="F75" s="8">
        <v>2274</v>
      </c>
      <c r="G75" s="8">
        <v>80962</v>
      </c>
      <c r="H75" s="11">
        <f>الجدول1[[#This Row],[O2]]/الجدول1[[#This Row],[N2]]</f>
        <v>2.8087250809021518E-2</v>
      </c>
      <c r="I75" s="8">
        <v>266</v>
      </c>
      <c r="J75" s="8">
        <v>3584</v>
      </c>
      <c r="K75" s="8">
        <v>6</v>
      </c>
      <c r="L75" s="8">
        <v>64</v>
      </c>
      <c r="M75" s="12">
        <v>0</v>
      </c>
      <c r="N75" s="8">
        <v>19</v>
      </c>
      <c r="O75" s="8">
        <v>533</v>
      </c>
      <c r="P75" s="8" t="s">
        <v>25</v>
      </c>
      <c r="Q75" s="8">
        <v>2</v>
      </c>
      <c r="R75" s="15" t="s">
        <v>17</v>
      </c>
      <c r="S75" s="4" t="str">
        <f t="shared" si="6"/>
        <v>غير محدد</v>
      </c>
      <c r="T75" s="2" t="str" cm="1">
        <f t="array" ref="T75">IFERROR(MID(R75,MATCH(TRUE,ISNUMBER(1*MID(R75,ROW($1:$13),1)),0),COUNT(1*MID(R75,ROW($1:$13),1))),"غير محدد")</f>
        <v>غير محدد</v>
      </c>
      <c r="U75" s="13" t="s">
        <v>93</v>
      </c>
      <c r="V75" s="11">
        <f>الجدول1[[#This Row],[CO2]]/الجدول1[[#This Row],[CO]]</f>
        <v>6.7242026266416515</v>
      </c>
      <c r="W75" s="11">
        <f>الجدول1[[#This Row],[C2H2]]/الجدول1[[#This Row],[C2H4]]</f>
        <v>0</v>
      </c>
      <c r="X75" s="11">
        <f>الجدول1[[#This Row],[C2H4]]/الجدول1[[#This Row],[C2H6]]</f>
        <v>9.375E-2</v>
      </c>
      <c r="Y75" s="17">
        <f>الجدول1[[#This Row],[CH4]]/الجدول1[[#This Row],[H2]]</f>
        <v>7.1428571428571425E-2</v>
      </c>
      <c r="Z75" s="3" t="str">
        <f t="shared" ca="1" si="7"/>
        <v xml:space="preserve">0 </v>
      </c>
    </row>
    <row r="76" spans="1:33" ht="24.6" customHeight="1" x14ac:dyDescent="0.2">
      <c r="A76" s="5" t="s">
        <v>47</v>
      </c>
      <c r="B76" s="5" t="s">
        <v>31</v>
      </c>
      <c r="C76" s="6" t="s">
        <v>27</v>
      </c>
      <c r="D76" s="10">
        <v>44951</v>
      </c>
      <c r="E76" s="8" t="str">
        <f t="shared" ca="1" si="5"/>
        <v xml:space="preserve">10  m 21  D </v>
      </c>
      <c r="F76" s="8">
        <v>3879</v>
      </c>
      <c r="G76" s="8">
        <v>47549</v>
      </c>
      <c r="H76" s="11">
        <f>الجدول1[[#This Row],[O2]]/الجدول1[[#This Row],[N2]]</f>
        <v>8.1579002712990803E-2</v>
      </c>
      <c r="I76" s="8">
        <v>164</v>
      </c>
      <c r="J76" s="8">
        <v>2164</v>
      </c>
      <c r="K76" s="8">
        <v>1</v>
      </c>
      <c r="L76" s="8">
        <v>15</v>
      </c>
      <c r="M76" s="12">
        <v>0</v>
      </c>
      <c r="N76" s="8">
        <v>1</v>
      </c>
      <c r="O76" s="8">
        <v>276</v>
      </c>
      <c r="P76" s="8" t="s">
        <v>21</v>
      </c>
      <c r="Q76" s="8">
        <v>1</v>
      </c>
      <c r="R76" s="15" t="s">
        <v>22</v>
      </c>
      <c r="S76" s="4" t="str">
        <f t="shared" si="6"/>
        <v>غير محدد</v>
      </c>
      <c r="T76" s="2" t="str" cm="1">
        <f t="array" ref="T76">IFERROR(MID(R76,MATCH(TRUE,ISNUMBER(1*MID(R76,ROW($1:$13),1)),0),COUNT(1*MID(R76,ROW($1:$13),1))),"غير محدد")</f>
        <v>غير محدد</v>
      </c>
      <c r="U76" s="13" t="s">
        <v>93</v>
      </c>
      <c r="V76" s="11">
        <f>الجدول1[[#This Row],[CO2]]/الجدول1[[#This Row],[CO]]</f>
        <v>7.8405797101449277</v>
      </c>
      <c r="W76" s="11">
        <f>الجدول1[[#This Row],[C2H2]]/الجدول1[[#This Row],[C2H4]]</f>
        <v>0</v>
      </c>
      <c r="X76" s="11">
        <f>الجدول1[[#This Row],[C2H4]]/الجدول1[[#This Row],[C2H6]]</f>
        <v>6.6666666666666666E-2</v>
      </c>
      <c r="Y76" s="17">
        <f>الجدول1[[#This Row],[CH4]]/الجدول1[[#This Row],[H2]]</f>
        <v>6.0975609756097563E-3</v>
      </c>
      <c r="Z76" s="3" t="str">
        <f t="shared" ca="1" si="7"/>
        <v xml:space="preserve">0 </v>
      </c>
      <c r="AA76" s="1"/>
      <c r="AB76" s="1"/>
      <c r="AC76" s="1"/>
      <c r="AD76" s="1"/>
      <c r="AE76" s="1"/>
      <c r="AF76" s="1"/>
      <c r="AG76" s="1"/>
    </row>
    <row r="77" spans="1:33" s="14" customFormat="1" ht="24.6" customHeight="1" x14ac:dyDescent="0.2">
      <c r="A77" s="5" t="s">
        <v>47</v>
      </c>
      <c r="B77" s="5" t="s">
        <v>31</v>
      </c>
      <c r="C77" s="6" t="s">
        <v>27</v>
      </c>
      <c r="D77" s="7">
        <v>45230</v>
      </c>
      <c r="E77" s="8" t="str">
        <f t="shared" ca="1" si="5"/>
        <v xml:space="preserve">1  m 15  D </v>
      </c>
      <c r="F77" s="8">
        <v>8329</v>
      </c>
      <c r="G77" s="8">
        <v>134731</v>
      </c>
      <c r="H77" s="11">
        <f>الجدول1[[#This Row],[O2]]/الجدول1[[#This Row],[N2]]</f>
        <v>6.1819477328899808E-2</v>
      </c>
      <c r="I77" s="8">
        <v>290</v>
      </c>
      <c r="J77" s="8">
        <v>7335</v>
      </c>
      <c r="K77" s="8">
        <v>8</v>
      </c>
      <c r="L77" s="8">
        <v>45</v>
      </c>
      <c r="M77" s="12">
        <v>0</v>
      </c>
      <c r="N77" s="8">
        <v>13</v>
      </c>
      <c r="O77" s="8">
        <v>680</v>
      </c>
      <c r="P77" s="8" t="s">
        <v>25</v>
      </c>
      <c r="Q77" s="8" t="s">
        <v>90</v>
      </c>
      <c r="R77" s="15" t="s">
        <v>12</v>
      </c>
      <c r="S77" s="4" t="str">
        <f t="shared" si="6"/>
        <v>غير محدد</v>
      </c>
      <c r="T77" s="2" t="str" cm="1">
        <f t="array" ref="T77">IFERROR(MID(R77,MATCH(TRUE,ISNUMBER(1*MID(R77,ROW($1:$13),1)),0),COUNT(1*MID(R77,ROW($1:$13),1))),"غير محدد")</f>
        <v>غير محدد</v>
      </c>
      <c r="U77" s="8" t="s">
        <v>57</v>
      </c>
      <c r="V77" s="11">
        <f>الجدول1[[#This Row],[CO2]]/الجدول1[[#This Row],[CO]]</f>
        <v>10.786764705882353</v>
      </c>
      <c r="W77" s="11">
        <f>الجدول1[[#This Row],[C2H2]]/الجدول1[[#This Row],[C2H4]]</f>
        <v>0</v>
      </c>
      <c r="X77" s="11">
        <f>الجدول1[[#This Row],[C2H4]]/الجدول1[[#This Row],[C2H6]]</f>
        <v>0.17777777777777778</v>
      </c>
      <c r="Y77" s="11">
        <f>الجدول1[[#This Row],[CH4]]/الجدول1[[#This Row],[H2]]</f>
        <v>4.4827586206896551E-2</v>
      </c>
      <c r="Z77" s="3" t="str">
        <f t="shared" ca="1" si="7"/>
        <v xml:space="preserve">0 </v>
      </c>
    </row>
    <row r="78" spans="1:33" ht="24.6" customHeight="1" x14ac:dyDescent="0.2">
      <c r="A78" s="5" t="s">
        <v>47</v>
      </c>
      <c r="B78" s="5" t="s">
        <v>32</v>
      </c>
      <c r="C78" s="6" t="s">
        <v>28</v>
      </c>
      <c r="D78" s="10">
        <v>44866</v>
      </c>
      <c r="E78" s="8" t="str">
        <f t="shared" ca="1" si="5"/>
        <v xml:space="preserve">1  m 15  D </v>
      </c>
      <c r="F78" s="8">
        <v>12537</v>
      </c>
      <c r="G78" s="8">
        <v>55817</v>
      </c>
      <c r="H78" s="11">
        <f>الجدول1[[#This Row],[O2]]/الجدول1[[#This Row],[N2]]</f>
        <v>0.22460899009262411</v>
      </c>
      <c r="I78" s="8">
        <v>19</v>
      </c>
      <c r="J78" s="8">
        <v>2554</v>
      </c>
      <c r="K78" s="8">
        <v>1</v>
      </c>
      <c r="L78" s="8">
        <v>1</v>
      </c>
      <c r="M78" s="12">
        <v>0</v>
      </c>
      <c r="N78" s="8">
        <v>3</v>
      </c>
      <c r="O78" s="8">
        <v>739</v>
      </c>
      <c r="P78" s="8" t="s">
        <v>25</v>
      </c>
      <c r="Q78" s="8">
        <v>2</v>
      </c>
      <c r="R78" s="8" t="s">
        <v>17</v>
      </c>
      <c r="S78" s="4" t="str">
        <f t="shared" si="6"/>
        <v>غير محدد</v>
      </c>
      <c r="T78" s="2" t="str" cm="1">
        <f t="array" ref="T78">IFERROR(MID(R78,MATCH(TRUE,ISNUMBER(1*MID(R78,ROW($1:$13),1)),0),COUNT(1*MID(R78,ROW($1:$13),1))),"غير محدد")</f>
        <v>غير محدد</v>
      </c>
      <c r="U78" s="13" t="s">
        <v>93</v>
      </c>
      <c r="V78" s="11">
        <f>الجدول1[[#This Row],[CO2]]/الجدول1[[#This Row],[CO]]</f>
        <v>3.4560216508795669</v>
      </c>
      <c r="W78" s="11">
        <f>الجدول1[[#This Row],[C2H2]]/الجدول1[[#This Row],[C2H4]]</f>
        <v>0</v>
      </c>
      <c r="X78" s="11">
        <f>الجدول1[[#This Row],[C2H4]]/الجدول1[[#This Row],[C2H6]]</f>
        <v>1</v>
      </c>
      <c r="Y78" s="17">
        <f>الجدول1[[#This Row],[CH4]]/الجدول1[[#This Row],[H2]]</f>
        <v>0.15789473684210525</v>
      </c>
      <c r="Z78" s="3" t="str">
        <f t="shared" ca="1" si="7"/>
        <v xml:space="preserve">0 </v>
      </c>
      <c r="AA78" s="1"/>
      <c r="AB78" s="1"/>
      <c r="AC78" s="1"/>
      <c r="AD78" s="1"/>
      <c r="AE78" s="1"/>
      <c r="AF78" s="1"/>
      <c r="AG78" s="1"/>
    </row>
    <row r="79" spans="1:33" ht="24.6" customHeight="1" x14ac:dyDescent="0.2">
      <c r="A79" s="5" t="s">
        <v>47</v>
      </c>
      <c r="B79" s="5" t="s">
        <v>32</v>
      </c>
      <c r="C79" s="6" t="s">
        <v>28</v>
      </c>
      <c r="D79" s="7">
        <v>45048</v>
      </c>
      <c r="E79" s="8" t="str">
        <f t="shared" ca="1" si="5"/>
        <v xml:space="preserve">7  m 14  D </v>
      </c>
      <c r="F79" s="8">
        <v>5103</v>
      </c>
      <c r="G79" s="8">
        <v>37415</v>
      </c>
      <c r="H79" s="11">
        <f>الجدول1[[#This Row],[O2]]/الجدول1[[#This Row],[N2]]</f>
        <v>0.13638914873713751</v>
      </c>
      <c r="I79" s="8">
        <v>24</v>
      </c>
      <c r="J79" s="8">
        <v>2225</v>
      </c>
      <c r="K79" s="8">
        <v>2</v>
      </c>
      <c r="L79" s="8">
        <v>3</v>
      </c>
      <c r="M79" s="12">
        <v>0</v>
      </c>
      <c r="N79" s="8">
        <v>1</v>
      </c>
      <c r="O79" s="8">
        <v>975</v>
      </c>
      <c r="P79" s="8" t="s">
        <v>13</v>
      </c>
      <c r="Q79" s="8">
        <v>2</v>
      </c>
      <c r="R79" s="8" t="s">
        <v>17</v>
      </c>
      <c r="S79" s="4" t="str">
        <f t="shared" si="6"/>
        <v>غير محدد</v>
      </c>
      <c r="T79" s="2" t="str" cm="1">
        <f t="array" ref="T79">IFERROR(MID(R79,MATCH(TRUE,ISNUMBER(1*MID(R79,ROW($1:$13),1)),0),COUNT(1*MID(R79,ROW($1:$13),1))),"غير محدد")</f>
        <v>غير محدد</v>
      </c>
      <c r="U79" s="8" t="s">
        <v>57</v>
      </c>
      <c r="V79" s="11">
        <f>الجدول1[[#This Row],[CO2]]/الجدول1[[#This Row],[CO]]</f>
        <v>2.2820512820512819</v>
      </c>
      <c r="W79" s="11">
        <f>الجدول1[[#This Row],[C2H2]]/الجدول1[[#This Row],[C2H4]]</f>
        <v>0</v>
      </c>
      <c r="X79" s="11">
        <f>الجدول1[[#This Row],[C2H4]]/الجدول1[[#This Row],[C2H6]]</f>
        <v>0.66666666666666663</v>
      </c>
      <c r="Y79" s="17">
        <f>الجدول1[[#This Row],[CH4]]/الجدول1[[#This Row],[H2]]</f>
        <v>4.1666666666666664E-2</v>
      </c>
      <c r="Z79" s="3" t="str">
        <f t="shared" ca="1" si="7"/>
        <v xml:space="preserve">0 </v>
      </c>
      <c r="AA79" s="1"/>
      <c r="AB79" s="1"/>
      <c r="AC79" s="1"/>
      <c r="AD79" s="1"/>
      <c r="AE79" s="1"/>
      <c r="AF79" s="1"/>
      <c r="AG79" s="1"/>
    </row>
    <row r="80" spans="1:33" ht="24.6" customHeight="1" x14ac:dyDescent="0.2">
      <c r="A80" s="5" t="s">
        <v>47</v>
      </c>
      <c r="B80" s="5" t="s">
        <v>30</v>
      </c>
      <c r="C80" s="6" t="s">
        <v>16</v>
      </c>
      <c r="D80" s="7">
        <v>44866</v>
      </c>
      <c r="E80" s="8" t="str">
        <f t="shared" ca="1" si="5"/>
        <v xml:space="preserve">1  m 15  D </v>
      </c>
      <c r="F80" s="8">
        <v>9163</v>
      </c>
      <c r="G80" s="8">
        <v>31020</v>
      </c>
      <c r="H80" s="11">
        <f>الجدول1[[#This Row],[O2]]/الجدول1[[#This Row],[N2]]</f>
        <v>0.29539007092198583</v>
      </c>
      <c r="I80" s="8">
        <v>17</v>
      </c>
      <c r="J80" s="8">
        <v>4225</v>
      </c>
      <c r="K80" s="8">
        <v>2</v>
      </c>
      <c r="L80" s="8">
        <v>2</v>
      </c>
      <c r="M80" s="12">
        <v>0</v>
      </c>
      <c r="N80" s="8">
        <v>4</v>
      </c>
      <c r="O80" s="8">
        <v>719</v>
      </c>
      <c r="P80" s="8" t="s">
        <v>25</v>
      </c>
      <c r="Q80" s="8">
        <v>2</v>
      </c>
      <c r="R80" s="8" t="s">
        <v>12</v>
      </c>
      <c r="S80" s="4" t="str">
        <f t="shared" si="6"/>
        <v>غير محدد</v>
      </c>
      <c r="T80" s="2" t="str" cm="1">
        <f t="array" ref="T80">IFERROR(MID(R80,MATCH(TRUE,ISNUMBER(1*MID(R80,ROW($1:$13),1)),0),COUNT(1*MID(R80,ROW($1:$13),1))),"غير محدد")</f>
        <v>غير محدد</v>
      </c>
      <c r="U80" s="8" t="s">
        <v>57</v>
      </c>
      <c r="V80" s="11">
        <f>الجدول1[[#This Row],[CO2]]/الجدول1[[#This Row],[CO]]</f>
        <v>5.8762169680111267</v>
      </c>
      <c r="W80" s="11">
        <f>الجدول1[[#This Row],[C2H2]]/الجدول1[[#This Row],[C2H4]]</f>
        <v>0</v>
      </c>
      <c r="X80" s="11">
        <f>الجدول1[[#This Row],[C2H4]]/الجدول1[[#This Row],[C2H6]]</f>
        <v>1</v>
      </c>
      <c r="Y80" s="17">
        <f>الجدول1[[#This Row],[CH4]]/الجدول1[[#This Row],[H2]]</f>
        <v>0.23529411764705882</v>
      </c>
      <c r="Z80" s="3" t="str">
        <f t="shared" ca="1" si="7"/>
        <v xml:space="preserve">0 </v>
      </c>
      <c r="AA80" s="1"/>
      <c r="AB80" s="1"/>
      <c r="AC80" s="1"/>
      <c r="AD80" s="1"/>
      <c r="AE80" s="1"/>
      <c r="AF80" s="1"/>
      <c r="AG80" s="1"/>
    </row>
    <row r="81" spans="1:33" ht="24.6" customHeight="1" x14ac:dyDescent="0.2">
      <c r="A81" s="5" t="s">
        <v>161</v>
      </c>
      <c r="B81" s="5" t="s">
        <v>24</v>
      </c>
      <c r="C81" s="6" t="s">
        <v>27</v>
      </c>
      <c r="D81" s="10">
        <v>45372</v>
      </c>
      <c r="E81" s="8" t="str">
        <f t="shared" ref="E81:E112" ca="1" si="8">IFERROR(DATEDIF(D81,TODAY(),"YM") &amp; "  m " &amp; DATEDIF(D81,TODAY(),"MD") &amp; "  D "," ")</f>
        <v xml:space="preserve">8  m 25  D </v>
      </c>
      <c r="F81" s="8">
        <v>13872</v>
      </c>
      <c r="G81" s="8">
        <v>84149</v>
      </c>
      <c r="H81" s="11">
        <f>الجدول1[[#This Row],[O2]]/الجدول1[[#This Row],[N2]]</f>
        <v>0.16485044385554196</v>
      </c>
      <c r="I81" s="8">
        <v>167</v>
      </c>
      <c r="J81" s="8">
        <v>3321</v>
      </c>
      <c r="K81" s="8">
        <v>3</v>
      </c>
      <c r="L81" s="8">
        <v>3</v>
      </c>
      <c r="M81" s="8">
        <v>0</v>
      </c>
      <c r="N81" s="8">
        <v>1</v>
      </c>
      <c r="O81" s="8">
        <v>253</v>
      </c>
      <c r="P81" s="8" t="s">
        <v>13</v>
      </c>
      <c r="Q81" s="8" t="s">
        <v>90</v>
      </c>
      <c r="R81" s="8" t="s">
        <v>151</v>
      </c>
      <c r="S81" s="4">
        <f t="shared" si="6"/>
        <v>45403</v>
      </c>
      <c r="T81" s="2" t="str" cm="1">
        <f t="array" ref="T81">IFERROR(MID(R81,MATCH(TRUE,ISNUMBER(1*MID(R81,ROW($1:$13),1)),0),COUNT(1*MID(R81,ROW($1:$13),1))),"غير محدد")</f>
        <v>1</v>
      </c>
      <c r="U81" s="13" t="s">
        <v>93</v>
      </c>
      <c r="V81" s="11">
        <f>الجدول1[[#This Row],[CO2]]/الجدول1[[#This Row],[CO]]</f>
        <v>13.126482213438734</v>
      </c>
      <c r="W81" s="11">
        <f>الجدول1[[#This Row],[C2H2]]/الجدول1[[#This Row],[C2H4]]</f>
        <v>0</v>
      </c>
      <c r="X81" s="11">
        <f>الجدول1[[#This Row],[C2H4]]/الجدول1[[#This Row],[C2H6]]</f>
        <v>1</v>
      </c>
      <c r="Y81" s="11">
        <f>الجدول1[[#This Row],[CH4]]/الجدول1[[#This Row],[H2]]</f>
        <v>5.9880239520958087E-3</v>
      </c>
      <c r="Z81" s="3" t="str">
        <f t="shared" ca="1" si="7"/>
        <v xml:space="preserve">25   </v>
      </c>
      <c r="AA81" s="1"/>
      <c r="AB81" s="1"/>
      <c r="AC81" s="1"/>
      <c r="AD81" s="1"/>
      <c r="AE81" s="1"/>
      <c r="AF81" s="1"/>
      <c r="AG81" s="1"/>
    </row>
    <row r="82" spans="1:33" ht="24.6" customHeight="1" x14ac:dyDescent="0.2">
      <c r="A82" s="5" t="s">
        <v>161</v>
      </c>
      <c r="B82" s="5" t="s">
        <v>24</v>
      </c>
      <c r="C82" s="6" t="s">
        <v>27</v>
      </c>
      <c r="D82" s="10">
        <v>45412</v>
      </c>
      <c r="E82" s="8" t="str">
        <f t="shared" ca="1" si="8"/>
        <v xml:space="preserve">7  m 16  D </v>
      </c>
      <c r="F82" s="8">
        <v>6661</v>
      </c>
      <c r="G82" s="8">
        <v>80218</v>
      </c>
      <c r="H82" s="11">
        <f>الجدول1[[#This Row],[O2]]/الجدول1[[#This Row],[N2]]</f>
        <v>8.3036226283377798E-2</v>
      </c>
      <c r="I82" s="8">
        <v>171</v>
      </c>
      <c r="J82" s="8">
        <v>2563</v>
      </c>
      <c r="K82" s="8">
        <v>2</v>
      </c>
      <c r="L82" s="8">
        <v>10</v>
      </c>
      <c r="M82" s="8">
        <v>0</v>
      </c>
      <c r="N82" s="8">
        <v>3</v>
      </c>
      <c r="O82" s="8">
        <v>264</v>
      </c>
      <c r="P82" s="8" t="s">
        <v>10</v>
      </c>
      <c r="Q82" s="8" t="s">
        <v>90</v>
      </c>
      <c r="R82" s="8" t="s">
        <v>165</v>
      </c>
      <c r="S82" s="4">
        <f t="shared" si="6"/>
        <v>45442</v>
      </c>
      <c r="T82" s="2" t="str" cm="1">
        <f t="array" ref="T82">IFERROR(MID(R82,MATCH(TRUE,ISNUMBER(1*MID(R82,ROW($1:$13),1)),0),COUNT(1*MID(R82,ROW($1:$13),1))),"غير محدد")</f>
        <v>1</v>
      </c>
      <c r="U82" s="13" t="s">
        <v>93</v>
      </c>
      <c r="V82" s="11">
        <f>الجدول1[[#This Row],[CO2]]/الجدول1[[#This Row],[CO]]</f>
        <v>9.7083333333333339</v>
      </c>
      <c r="W82" s="11">
        <f>الجدول1[[#This Row],[C2H2]]/الجدول1[[#This Row],[C2H4]]</f>
        <v>0</v>
      </c>
      <c r="X82" s="11">
        <f>الجدول1[[#This Row],[C2H4]]/الجدول1[[#This Row],[C2H6]]</f>
        <v>0.2</v>
      </c>
      <c r="Y82" s="11">
        <f>الجدول1[[#This Row],[CH4]]/الجدول1[[#This Row],[H2]]</f>
        <v>1.7543859649122806E-2</v>
      </c>
      <c r="Z82" s="3" t="str">
        <f t="shared" ca="1" si="7"/>
        <v xml:space="preserve">16   </v>
      </c>
      <c r="AA82" s="1"/>
      <c r="AB82" s="1"/>
      <c r="AC82" s="1"/>
      <c r="AD82" s="1"/>
      <c r="AE82" s="1"/>
      <c r="AF82" s="1"/>
      <c r="AG82" s="1"/>
    </row>
    <row r="83" spans="1:33" ht="24.6" customHeight="1" x14ac:dyDescent="0.2">
      <c r="A83" s="5" t="s">
        <v>161</v>
      </c>
      <c r="B83" s="5" t="s">
        <v>24</v>
      </c>
      <c r="C83" s="6" t="s">
        <v>27</v>
      </c>
      <c r="D83" s="10">
        <v>45554</v>
      </c>
      <c r="E83" s="8" t="str">
        <f t="shared" ca="1" si="8"/>
        <v xml:space="preserve">2  m 27  D </v>
      </c>
      <c r="F83" s="8">
        <v>3212</v>
      </c>
      <c r="G83" s="8">
        <v>88383</v>
      </c>
      <c r="H83" s="11">
        <f>الجدول1[[#This Row],[O2]]/الجدول1[[#This Row],[N2]]</f>
        <v>3.6341830442505912E-2</v>
      </c>
      <c r="I83" s="8">
        <v>371</v>
      </c>
      <c r="J83" s="8">
        <v>1965</v>
      </c>
      <c r="K83" s="8">
        <v>4</v>
      </c>
      <c r="L83" s="8">
        <v>8</v>
      </c>
      <c r="M83" s="8">
        <v>0</v>
      </c>
      <c r="N83" s="8">
        <v>8</v>
      </c>
      <c r="O83" s="8">
        <v>207</v>
      </c>
      <c r="P83" s="8" t="s">
        <v>25</v>
      </c>
      <c r="Q83" s="8" t="s">
        <v>90</v>
      </c>
      <c r="R83" s="8" t="s">
        <v>151</v>
      </c>
      <c r="S83" s="4">
        <f t="shared" si="6"/>
        <v>45584</v>
      </c>
      <c r="T83" s="2" t="str" cm="1">
        <f t="array" ref="T83">IFERROR(MID(R83,MATCH(TRUE,ISNUMBER(1*MID(R83,ROW($1:$13),1)),0),COUNT(1*MID(R83,ROW($1:$13),1))),"غير محدد")</f>
        <v>1</v>
      </c>
      <c r="U83" s="13" t="s">
        <v>57</v>
      </c>
      <c r="V83" s="11">
        <f>الجدول1[[#This Row],[CO2]]/الجدول1[[#This Row],[CO]]</f>
        <v>9.4927536231884062</v>
      </c>
      <c r="W83" s="11">
        <f>الجدول1[[#This Row],[C2H2]]/الجدول1[[#This Row],[C2H4]]</f>
        <v>0</v>
      </c>
      <c r="X83" s="11">
        <f>الجدول1[[#This Row],[C2H4]]/الجدول1[[#This Row],[C2H6]]</f>
        <v>0.5</v>
      </c>
      <c r="Y83" s="11">
        <f>الجدول1[[#This Row],[CH4]]/الجدول1[[#This Row],[H2]]</f>
        <v>2.15633423180593E-2</v>
      </c>
      <c r="Z83" s="3" t="str">
        <f t="shared" ca="1" si="7"/>
        <v xml:space="preserve">27   </v>
      </c>
      <c r="AA83" s="1"/>
      <c r="AB83" s="1"/>
      <c r="AC83" s="1"/>
      <c r="AD83" s="1"/>
      <c r="AE83" s="1"/>
      <c r="AF83" s="1"/>
      <c r="AG83" s="1"/>
    </row>
    <row r="84" spans="1:33" ht="24.6" customHeight="1" x14ac:dyDescent="0.2">
      <c r="A84" s="5" t="s">
        <v>161</v>
      </c>
      <c r="B84" s="5" t="s">
        <v>38</v>
      </c>
      <c r="C84" s="6" t="s">
        <v>27</v>
      </c>
      <c r="D84" s="10">
        <v>45630</v>
      </c>
      <c r="E84" s="8" t="str">
        <f t="shared" ca="1" si="8"/>
        <v xml:space="preserve">0  m 12  D </v>
      </c>
      <c r="F84" s="8">
        <v>19290</v>
      </c>
      <c r="G84" s="8">
        <v>85675</v>
      </c>
      <c r="H84" s="11">
        <f>الجدول1[[#This Row],[O2]]/الجدول1[[#This Row],[N2]]</f>
        <v>0.2251531952144733</v>
      </c>
      <c r="I84" s="8">
        <v>87</v>
      </c>
      <c r="J84" s="8">
        <v>3375</v>
      </c>
      <c r="K84" s="8">
        <v>15</v>
      </c>
      <c r="L84" s="8">
        <v>5</v>
      </c>
      <c r="M84" s="8">
        <v>0</v>
      </c>
      <c r="N84" s="8">
        <v>5</v>
      </c>
      <c r="O84" s="8">
        <v>434</v>
      </c>
      <c r="P84" s="8" t="s">
        <v>13</v>
      </c>
      <c r="Q84" s="8" t="s">
        <v>90</v>
      </c>
      <c r="R84" s="8" t="s">
        <v>151</v>
      </c>
      <c r="S84" s="4">
        <f t="shared" si="6"/>
        <v>45661</v>
      </c>
      <c r="T84" s="2" t="str" cm="1">
        <f t="array" ref="T84">IFERROR(MID(R84,MATCH(TRUE,ISNUMBER(1*MID(R84,ROW($1:$13),1)),0),COUNT(1*MID(R84,ROW($1:$13),1))),"غير محدد")</f>
        <v>1</v>
      </c>
      <c r="U84" s="13" t="s">
        <v>57</v>
      </c>
      <c r="V84" s="11">
        <f>الجدول1[[#This Row],[CO2]]/الجدول1[[#This Row],[CO]]</f>
        <v>7.7764976958525347</v>
      </c>
      <c r="W84" s="11">
        <f>الجدول1[[#This Row],[C2H2]]/الجدول1[[#This Row],[C2H4]]</f>
        <v>0</v>
      </c>
      <c r="X84" s="11">
        <f>الجدول1[[#This Row],[C2H4]]/الجدول1[[#This Row],[C2H6]]</f>
        <v>3</v>
      </c>
      <c r="Y84" s="11">
        <f>الجدول1[[#This Row],[CH4]]/الجدول1[[#This Row],[H2]]</f>
        <v>5.7471264367816091E-2</v>
      </c>
      <c r="Z84" s="3" t="str">
        <f t="shared" ca="1" si="7"/>
        <v xml:space="preserve">12   </v>
      </c>
      <c r="AA84" s="1"/>
      <c r="AB84" s="1"/>
      <c r="AC84" s="1"/>
      <c r="AD84" s="1"/>
      <c r="AE84" s="1"/>
      <c r="AF84" s="1"/>
      <c r="AG84" s="1"/>
    </row>
    <row r="85" spans="1:33" ht="24.6" customHeight="1" x14ac:dyDescent="0.2">
      <c r="A85" s="5" t="s">
        <v>161</v>
      </c>
      <c r="B85" s="5" t="s">
        <v>39</v>
      </c>
      <c r="C85" s="6" t="s">
        <v>27</v>
      </c>
      <c r="D85" s="10">
        <v>45412</v>
      </c>
      <c r="E85" s="8" t="str">
        <f t="shared" ca="1" si="8"/>
        <v xml:space="preserve">7  m 16  D </v>
      </c>
      <c r="F85" s="8">
        <v>17782</v>
      </c>
      <c r="G85" s="8">
        <v>80496</v>
      </c>
      <c r="H85" s="11">
        <f>الجدول1[[#This Row],[O2]]/الجدول1[[#This Row],[N2]]</f>
        <v>0.22090538660306103</v>
      </c>
      <c r="I85" s="8">
        <v>77</v>
      </c>
      <c r="J85" s="8">
        <v>2777</v>
      </c>
      <c r="K85" s="8">
        <v>4</v>
      </c>
      <c r="L85" s="8">
        <v>5</v>
      </c>
      <c r="M85" s="8">
        <v>0</v>
      </c>
      <c r="N85" s="8">
        <v>8</v>
      </c>
      <c r="O85" s="8">
        <v>236</v>
      </c>
      <c r="P85" s="8" t="s">
        <v>10</v>
      </c>
      <c r="Q85" s="8" t="s">
        <v>96</v>
      </c>
      <c r="R85" s="8" t="s">
        <v>151</v>
      </c>
      <c r="S85" s="4">
        <f t="shared" si="6"/>
        <v>45442</v>
      </c>
      <c r="T85" s="2" t="str" cm="1">
        <f t="array" ref="T85">IFERROR(MID(R85,MATCH(TRUE,ISNUMBER(1*MID(R85,ROW($1:$13),1)),0),COUNT(1*MID(R85,ROW($1:$13),1))),"غير محدد")</f>
        <v>1</v>
      </c>
      <c r="U85" s="13" t="s">
        <v>93</v>
      </c>
      <c r="V85" s="11">
        <f>الجدول1[[#This Row],[CO2]]/الجدول1[[#This Row],[CO]]</f>
        <v>11.766949152542374</v>
      </c>
      <c r="W85" s="11">
        <f>الجدول1[[#This Row],[C2H2]]/الجدول1[[#This Row],[C2H4]]</f>
        <v>0</v>
      </c>
      <c r="X85" s="11">
        <f>الجدول1[[#This Row],[C2H4]]/الجدول1[[#This Row],[C2H6]]</f>
        <v>0.8</v>
      </c>
      <c r="Y85" s="11">
        <f>الجدول1[[#This Row],[CH4]]/الجدول1[[#This Row],[H2]]</f>
        <v>0.1038961038961039</v>
      </c>
      <c r="Z85" s="3" t="str">
        <f t="shared" ca="1" si="7"/>
        <v xml:space="preserve">16   </v>
      </c>
      <c r="AA85" s="1"/>
      <c r="AB85" s="1"/>
      <c r="AC85" s="1"/>
      <c r="AD85" s="1"/>
      <c r="AE85" s="1"/>
      <c r="AF85" s="1"/>
      <c r="AG85" s="1"/>
    </row>
    <row r="86" spans="1:33" ht="24.6" customHeight="1" x14ac:dyDescent="0.2">
      <c r="A86" s="5" t="s">
        <v>161</v>
      </c>
      <c r="B86" s="5" t="s">
        <v>39</v>
      </c>
      <c r="C86" s="6" t="s">
        <v>27</v>
      </c>
      <c r="D86" s="10">
        <v>45554</v>
      </c>
      <c r="E86" s="8" t="str">
        <f t="shared" ca="1" si="8"/>
        <v xml:space="preserve">2  m 27  D </v>
      </c>
      <c r="F86" s="8">
        <v>9758</v>
      </c>
      <c r="G86" s="8">
        <v>134567</v>
      </c>
      <c r="H86" s="11">
        <f>الجدول1[[#This Row],[O2]]/الجدول1[[#This Row],[N2]]</f>
        <v>7.2514063626297684E-2</v>
      </c>
      <c r="I86" s="8">
        <v>245</v>
      </c>
      <c r="J86" s="8">
        <v>2382</v>
      </c>
      <c r="K86" s="8">
        <v>1</v>
      </c>
      <c r="L86" s="8">
        <v>4</v>
      </c>
      <c r="M86" s="8">
        <v>0</v>
      </c>
      <c r="N86" s="8">
        <v>4</v>
      </c>
      <c r="O86" s="8">
        <v>270</v>
      </c>
      <c r="P86" s="8" t="s">
        <v>11</v>
      </c>
      <c r="Q86" s="8" t="s">
        <v>90</v>
      </c>
      <c r="R86" s="8" t="s">
        <v>151</v>
      </c>
      <c r="S86" s="4">
        <f t="shared" si="6"/>
        <v>45584</v>
      </c>
      <c r="T86" s="2" t="str" cm="1">
        <f t="array" ref="T86">IFERROR(MID(R86,MATCH(TRUE,ISNUMBER(1*MID(R86,ROW($1:$13),1)),0),COUNT(1*MID(R86,ROW($1:$13),1))),"غير محدد")</f>
        <v>1</v>
      </c>
      <c r="U86" s="13" t="s">
        <v>57</v>
      </c>
      <c r="V86" s="11">
        <f>الجدول1[[#This Row],[CO2]]/الجدول1[[#This Row],[CO]]</f>
        <v>8.8222222222222229</v>
      </c>
      <c r="W86" s="11">
        <f>الجدول1[[#This Row],[C2H2]]/الجدول1[[#This Row],[C2H4]]</f>
        <v>0</v>
      </c>
      <c r="X86" s="11">
        <f>الجدول1[[#This Row],[C2H4]]/الجدول1[[#This Row],[C2H6]]</f>
        <v>0.25</v>
      </c>
      <c r="Y86" s="11">
        <f>الجدول1[[#This Row],[CH4]]/الجدول1[[#This Row],[H2]]</f>
        <v>1.6326530612244899E-2</v>
      </c>
      <c r="Z86" s="3" t="str">
        <f t="shared" ca="1" si="7"/>
        <v xml:space="preserve">27   </v>
      </c>
      <c r="AA86" s="1"/>
      <c r="AB86" s="1"/>
      <c r="AC86" s="1"/>
      <c r="AD86" s="1"/>
      <c r="AE86" s="1"/>
      <c r="AF86" s="1"/>
      <c r="AG86" s="1"/>
    </row>
    <row r="87" spans="1:33" ht="24.6" customHeight="1" x14ac:dyDescent="0.2">
      <c r="A87" s="5" t="s">
        <v>161</v>
      </c>
      <c r="B87" s="5" t="s">
        <v>29</v>
      </c>
      <c r="C87" s="6" t="s">
        <v>27</v>
      </c>
      <c r="D87" s="10">
        <v>45372</v>
      </c>
      <c r="E87" s="8" t="str">
        <f t="shared" ca="1" si="8"/>
        <v xml:space="preserve">8  m 25  D </v>
      </c>
      <c r="F87" s="8">
        <v>5350</v>
      </c>
      <c r="G87" s="8">
        <v>84606</v>
      </c>
      <c r="H87" s="11">
        <f>الجدول1[[#This Row],[O2]]/الجدول1[[#This Row],[N2]]</f>
        <v>6.3234285984445554E-2</v>
      </c>
      <c r="I87" s="8">
        <v>178</v>
      </c>
      <c r="J87" s="8">
        <v>4820</v>
      </c>
      <c r="K87" s="8">
        <v>2</v>
      </c>
      <c r="L87" s="8">
        <v>5</v>
      </c>
      <c r="M87" s="8">
        <v>0</v>
      </c>
      <c r="N87" s="8">
        <v>1</v>
      </c>
      <c r="O87" s="8">
        <v>791</v>
      </c>
      <c r="P87" s="8" t="s">
        <v>13</v>
      </c>
      <c r="Q87" s="8" t="s">
        <v>90</v>
      </c>
      <c r="R87" s="8" t="s">
        <v>151</v>
      </c>
      <c r="S87" s="4">
        <f t="shared" si="6"/>
        <v>45403</v>
      </c>
      <c r="T87" s="2" t="str" cm="1">
        <f t="array" ref="T87">IFERROR(MID(R87,MATCH(TRUE,ISNUMBER(1*MID(R87,ROW($1:$13),1)),0),COUNT(1*MID(R87,ROW($1:$13),1))),"غير محدد")</f>
        <v>1</v>
      </c>
      <c r="U87" s="13" t="s">
        <v>93</v>
      </c>
      <c r="V87" s="11">
        <f>الجدول1[[#This Row],[CO2]]/الجدول1[[#This Row],[CO]]</f>
        <v>6.0935524652338815</v>
      </c>
      <c r="W87" s="11">
        <f>الجدول1[[#This Row],[C2H2]]/الجدول1[[#This Row],[C2H4]]</f>
        <v>0</v>
      </c>
      <c r="X87" s="11">
        <f>الجدول1[[#This Row],[C2H4]]/الجدول1[[#This Row],[C2H6]]</f>
        <v>0.4</v>
      </c>
      <c r="Y87" s="11">
        <f>الجدول1[[#This Row],[CH4]]/الجدول1[[#This Row],[H2]]</f>
        <v>5.6179775280898875E-3</v>
      </c>
      <c r="Z87" s="3" t="str">
        <f t="shared" ca="1" si="7"/>
        <v xml:space="preserve">25   </v>
      </c>
      <c r="AA87" s="1"/>
      <c r="AB87" s="1"/>
      <c r="AC87" s="1"/>
      <c r="AD87" s="1"/>
      <c r="AE87" s="1"/>
      <c r="AF87" s="1"/>
      <c r="AG87" s="1"/>
    </row>
    <row r="88" spans="1:33" ht="24.6" customHeight="1" x14ac:dyDescent="0.2">
      <c r="A88" s="5" t="s">
        <v>161</v>
      </c>
      <c r="B88" s="5" t="s">
        <v>29</v>
      </c>
      <c r="C88" s="6" t="s">
        <v>27</v>
      </c>
      <c r="D88" s="10">
        <v>45412</v>
      </c>
      <c r="E88" s="8" t="str">
        <f t="shared" ca="1" si="8"/>
        <v xml:space="preserve">7  m 16  D </v>
      </c>
      <c r="F88" s="8">
        <v>5930</v>
      </c>
      <c r="G88" s="8">
        <v>84709</v>
      </c>
      <c r="H88" s="11">
        <f>الجدول1[[#This Row],[O2]]/الجدول1[[#This Row],[N2]]</f>
        <v>7.0004367894792766E-2</v>
      </c>
      <c r="I88" s="8">
        <v>151</v>
      </c>
      <c r="J88" s="8">
        <v>3641</v>
      </c>
      <c r="K88" s="8">
        <v>8</v>
      </c>
      <c r="L88" s="8">
        <v>2</v>
      </c>
      <c r="M88" s="8">
        <v>0</v>
      </c>
      <c r="N88" s="8">
        <v>2</v>
      </c>
      <c r="O88" s="8">
        <v>816</v>
      </c>
      <c r="P88" s="8" t="s">
        <v>10</v>
      </c>
      <c r="Q88" s="8" t="s">
        <v>90</v>
      </c>
      <c r="R88" s="8" t="s">
        <v>151</v>
      </c>
      <c r="S88" s="4">
        <f t="shared" si="6"/>
        <v>45442</v>
      </c>
      <c r="T88" s="2" t="str" cm="1">
        <f t="array" ref="T88">IFERROR(MID(R88,MATCH(TRUE,ISNUMBER(1*MID(R88,ROW($1:$13),1)),0),COUNT(1*MID(R88,ROW($1:$13),1))),"غير محدد")</f>
        <v>1</v>
      </c>
      <c r="U88" s="13" t="s">
        <v>57</v>
      </c>
      <c r="V88" s="11">
        <f>الجدول1[[#This Row],[CO2]]/الجدول1[[#This Row],[CO]]</f>
        <v>4.4620098039215685</v>
      </c>
      <c r="W88" s="11">
        <f>الجدول1[[#This Row],[C2H2]]/الجدول1[[#This Row],[C2H4]]</f>
        <v>0</v>
      </c>
      <c r="X88" s="11">
        <f>الجدول1[[#This Row],[C2H4]]/الجدول1[[#This Row],[C2H6]]</f>
        <v>4</v>
      </c>
      <c r="Y88" s="11">
        <f>الجدول1[[#This Row],[CH4]]/الجدول1[[#This Row],[H2]]</f>
        <v>1.3245033112582781E-2</v>
      </c>
      <c r="Z88" s="3" t="str">
        <f t="shared" ca="1" si="7"/>
        <v xml:space="preserve">16   </v>
      </c>
      <c r="AA88" s="1"/>
      <c r="AB88" s="1"/>
      <c r="AC88" s="1"/>
      <c r="AD88" s="1"/>
      <c r="AE88" s="1"/>
      <c r="AF88" s="1"/>
      <c r="AG88" s="1"/>
    </row>
    <row r="89" spans="1:33" ht="24.6" customHeight="1" x14ac:dyDescent="0.2">
      <c r="A89" s="5" t="s">
        <v>107</v>
      </c>
      <c r="B89" s="5" t="s">
        <v>109</v>
      </c>
      <c r="C89" s="6" t="s">
        <v>77</v>
      </c>
      <c r="D89" s="7">
        <v>45266</v>
      </c>
      <c r="E89" s="8" t="str">
        <f t="shared" ca="1" si="8"/>
        <v xml:space="preserve">0  m 10  D </v>
      </c>
      <c r="F89" s="8">
        <v>11465</v>
      </c>
      <c r="G89" s="8">
        <v>51548</v>
      </c>
      <c r="H89" s="11">
        <f>الجدول1[[#This Row],[O2]]/الجدول1[[#This Row],[N2]]</f>
        <v>0.22241406068130673</v>
      </c>
      <c r="I89" s="8">
        <v>13</v>
      </c>
      <c r="J89" s="8">
        <v>2098</v>
      </c>
      <c r="K89" s="8">
        <v>2</v>
      </c>
      <c r="L89" s="8">
        <v>2</v>
      </c>
      <c r="M89" s="12">
        <v>0</v>
      </c>
      <c r="N89" s="8">
        <v>1</v>
      </c>
      <c r="O89" s="8">
        <v>1085</v>
      </c>
      <c r="P89" s="8" t="s">
        <v>13</v>
      </c>
      <c r="Q89" s="8" t="s">
        <v>90</v>
      </c>
      <c r="R89" s="8" t="s">
        <v>91</v>
      </c>
      <c r="S89" s="4" t="str">
        <f t="shared" si="6"/>
        <v>غير محدد</v>
      </c>
      <c r="T89" s="2" t="str" cm="1">
        <f t="array" ref="T89">IFERROR(MID(R89,MATCH(TRUE,ISNUMBER(1*MID(R89,ROW($1:$13),1)),0),COUNT(1*MID(R89,ROW($1:$13),1))),"غير محدد")</f>
        <v>غير محدد</v>
      </c>
      <c r="U89" s="13" t="s">
        <v>93</v>
      </c>
      <c r="V89" s="11">
        <f>الجدول1[[#This Row],[CO2]]/الجدول1[[#This Row],[CO]]</f>
        <v>1.9336405529953917</v>
      </c>
      <c r="W89" s="11">
        <f>الجدول1[[#This Row],[C2H2]]/الجدول1[[#This Row],[C2H4]]</f>
        <v>0</v>
      </c>
      <c r="X89" s="11">
        <f>الجدول1[[#This Row],[C2H4]]/الجدول1[[#This Row],[C2H6]]</f>
        <v>1</v>
      </c>
      <c r="Y89" s="11">
        <f>الجدول1[[#This Row],[CH4]]/الجدول1[[#This Row],[H2]]</f>
        <v>7.6923076923076927E-2</v>
      </c>
      <c r="Z89" s="3" t="str">
        <f t="shared" ca="1" si="7"/>
        <v xml:space="preserve">0 </v>
      </c>
      <c r="AA89" s="1"/>
      <c r="AB89" s="1"/>
      <c r="AC89" s="1"/>
      <c r="AD89" s="1"/>
      <c r="AE89" s="1"/>
      <c r="AF89" s="1"/>
      <c r="AG89" s="1"/>
    </row>
    <row r="90" spans="1:33" s="14" customFormat="1" ht="24.6" customHeight="1" x14ac:dyDescent="0.2">
      <c r="A90" s="5" t="s">
        <v>107</v>
      </c>
      <c r="B90" s="5" t="s">
        <v>109</v>
      </c>
      <c r="C90" s="6" t="s">
        <v>77</v>
      </c>
      <c r="D90" s="7">
        <v>45740</v>
      </c>
      <c r="E90" s="8" t="str">
        <f t="shared" ca="1" si="8"/>
        <v xml:space="preserve">8  m 22  D </v>
      </c>
      <c r="F90" s="8">
        <v>8683</v>
      </c>
      <c r="G90" s="8">
        <v>31907</v>
      </c>
      <c r="H90" s="11">
        <f>الجدول1[[#This Row],[O2]]/الجدول1[[#This Row],[N2]]</f>
        <v>0.27213464130128184</v>
      </c>
      <c r="I90" s="8">
        <v>51</v>
      </c>
      <c r="J90" s="8">
        <v>1841</v>
      </c>
      <c r="K90" s="8">
        <v>2</v>
      </c>
      <c r="L90" s="8">
        <v>3</v>
      </c>
      <c r="M90" s="12">
        <v>0</v>
      </c>
      <c r="N90" s="8">
        <v>1</v>
      </c>
      <c r="O90" s="8">
        <v>741</v>
      </c>
      <c r="P90" s="8" t="s">
        <v>13</v>
      </c>
      <c r="Q90" s="8" t="s">
        <v>90</v>
      </c>
      <c r="R90" s="8" t="s">
        <v>151</v>
      </c>
      <c r="S90" s="4">
        <f t="shared" si="6"/>
        <v>45771</v>
      </c>
      <c r="T90" s="2" t="str" cm="1">
        <f t="array" ref="T90">IFERROR(MID(R90,MATCH(TRUE,ISNUMBER(1*MID(R90,ROW($1:$13),1)),0),COUNT(1*MID(R90,ROW($1:$13),1))),"غير محدد")</f>
        <v>1</v>
      </c>
      <c r="U90" s="13" t="s">
        <v>93</v>
      </c>
      <c r="V90" s="11">
        <f>الجدول1[[#This Row],[CO2]]/الجدول1[[#This Row],[CO]]</f>
        <v>2.4844804318488527</v>
      </c>
      <c r="W90" s="11">
        <f>الجدول1[[#This Row],[C2H2]]/الجدول1[[#This Row],[C2H4]]</f>
        <v>0</v>
      </c>
      <c r="X90" s="11">
        <f>الجدول1[[#This Row],[C2H4]]/الجدول1[[#This Row],[C2H6]]</f>
        <v>0.66666666666666663</v>
      </c>
      <c r="Y90" s="11">
        <f>الجدول1[[#This Row],[CH4]]/الجدول1[[#This Row],[H2]]</f>
        <v>1.9607843137254902E-2</v>
      </c>
      <c r="Z90" s="3" t="str">
        <f t="shared" ca="1" si="7"/>
        <v xml:space="preserve">22   </v>
      </c>
    </row>
    <row r="91" spans="1:33" s="14" customFormat="1" ht="24.6" customHeight="1" x14ac:dyDescent="0.2">
      <c r="A91" s="5" t="s">
        <v>107</v>
      </c>
      <c r="B91" s="5" t="s">
        <v>109</v>
      </c>
      <c r="C91" s="6" t="s">
        <v>77</v>
      </c>
      <c r="D91" s="7">
        <v>45797</v>
      </c>
      <c r="E91" s="8" t="str">
        <f t="shared" ca="1" si="8"/>
        <v xml:space="preserve">6  m 26  D </v>
      </c>
      <c r="F91" s="8">
        <v>14073</v>
      </c>
      <c r="G91" s="8">
        <v>44418</v>
      </c>
      <c r="H91" s="11">
        <f>الجدول1[[#This Row],[O2]]/الجدول1[[#This Row],[N2]]</f>
        <v>0.3168310144535999</v>
      </c>
      <c r="I91" s="8">
        <v>21</v>
      </c>
      <c r="J91" s="8">
        <v>1817</v>
      </c>
      <c r="K91" s="8">
        <v>1</v>
      </c>
      <c r="L91" s="8">
        <v>1</v>
      </c>
      <c r="M91" s="12">
        <v>0</v>
      </c>
      <c r="N91" s="8">
        <v>1</v>
      </c>
      <c r="O91" s="8">
        <v>882</v>
      </c>
      <c r="P91" s="8" t="s">
        <v>25</v>
      </c>
      <c r="Q91" s="8" t="s">
        <v>90</v>
      </c>
      <c r="R91" s="8" t="s">
        <v>150</v>
      </c>
      <c r="S91" s="4">
        <f t="shared" si="6"/>
        <v>45981</v>
      </c>
      <c r="T91" s="2" t="str" cm="1">
        <f t="array" ref="T91">IFERROR(MID(R91,MATCH(TRUE,ISNUMBER(1*MID(R91,ROW($1:$13),1)),0),COUNT(1*MID(R91,ROW($1:$13),1))),"غير محدد")</f>
        <v>6</v>
      </c>
      <c r="U91" s="8" t="s">
        <v>57</v>
      </c>
      <c r="V91" s="11">
        <f>الجدول1[[#This Row],[CO2]]/الجدول1[[#This Row],[CO]]</f>
        <v>2.0600907029478459</v>
      </c>
      <c r="W91" s="11">
        <f>الجدول1[[#This Row],[C2H2]]/الجدول1[[#This Row],[C2H4]]</f>
        <v>0</v>
      </c>
      <c r="X91" s="11">
        <f>الجدول1[[#This Row],[C2H4]]/الجدول1[[#This Row],[C2H6]]</f>
        <v>1</v>
      </c>
      <c r="Y91" s="11">
        <f>الجدول1[[#This Row],[CH4]]/الجدول1[[#This Row],[H2]]</f>
        <v>4.7619047619047616E-2</v>
      </c>
      <c r="Z91" s="3" t="str">
        <f t="shared" ca="1" si="7"/>
        <v xml:space="preserve">26   </v>
      </c>
    </row>
    <row r="92" spans="1:33" s="14" customFormat="1" ht="24.6" customHeight="1" x14ac:dyDescent="0.2">
      <c r="A92" s="5" t="s">
        <v>107</v>
      </c>
      <c r="B92" s="5" t="s">
        <v>109</v>
      </c>
      <c r="C92" s="6" t="s">
        <v>77</v>
      </c>
      <c r="D92" s="7" t="s">
        <v>110</v>
      </c>
      <c r="E92" s="8" t="str">
        <f t="shared" ca="1" si="8"/>
        <v xml:space="preserve">1  m 28  D </v>
      </c>
      <c r="F92" s="8">
        <v>30698</v>
      </c>
      <c r="G92" s="8">
        <v>117548</v>
      </c>
      <c r="H92" s="11">
        <f>الجدول1[[#This Row],[O2]]/الجدول1[[#This Row],[N2]]</f>
        <v>0.261152890733998</v>
      </c>
      <c r="I92" s="8">
        <v>9</v>
      </c>
      <c r="J92" s="8">
        <v>3394</v>
      </c>
      <c r="K92" s="8">
        <v>2</v>
      </c>
      <c r="L92" s="8">
        <v>4</v>
      </c>
      <c r="M92" s="12">
        <v>0</v>
      </c>
      <c r="N92" s="8">
        <v>1</v>
      </c>
      <c r="O92" s="8">
        <v>952</v>
      </c>
      <c r="P92" s="8" t="s">
        <v>13</v>
      </c>
      <c r="Q92" s="8" t="s">
        <v>90</v>
      </c>
      <c r="R92" s="8" t="s">
        <v>12</v>
      </c>
      <c r="S92" s="4" t="str">
        <f t="shared" si="6"/>
        <v>غير محدد</v>
      </c>
      <c r="T92" s="2" t="str" cm="1">
        <f t="array" ref="T92">IFERROR(MID(R92,MATCH(TRUE,ISNUMBER(1*MID(R92,ROW($1:$13),1)),0),COUNT(1*MID(R92,ROW($1:$13),1))),"غير محدد")</f>
        <v>غير محدد</v>
      </c>
      <c r="U92" s="13" t="s">
        <v>93</v>
      </c>
      <c r="V92" s="11">
        <f>الجدول1[[#This Row],[CO2]]/الجدول1[[#This Row],[CO]]</f>
        <v>3.5651260504201683</v>
      </c>
      <c r="W92" s="11">
        <f>الجدول1[[#This Row],[C2H2]]/الجدول1[[#This Row],[C2H4]]</f>
        <v>0</v>
      </c>
      <c r="X92" s="11">
        <f>الجدول1[[#This Row],[C2H4]]/الجدول1[[#This Row],[C2H6]]</f>
        <v>0.5</v>
      </c>
      <c r="Y92" s="11">
        <f>الجدول1[[#This Row],[CH4]]/الجدول1[[#This Row],[H2]]</f>
        <v>0.1111111111111111</v>
      </c>
      <c r="Z92" s="3" t="str">
        <f t="shared" ca="1" si="7"/>
        <v xml:space="preserve">0 </v>
      </c>
    </row>
    <row r="93" spans="1:33" ht="24.6" customHeight="1" x14ac:dyDescent="0.2">
      <c r="A93" s="5" t="s">
        <v>107</v>
      </c>
      <c r="B93" s="5" t="s">
        <v>111</v>
      </c>
      <c r="C93" s="6" t="s">
        <v>77</v>
      </c>
      <c r="D93" s="10">
        <v>44994</v>
      </c>
      <c r="E93" s="8" t="str">
        <f t="shared" ca="1" si="8"/>
        <v xml:space="preserve">9  m 7  D </v>
      </c>
      <c r="F93" s="8">
        <v>33674</v>
      </c>
      <c r="G93" s="8">
        <v>118539</v>
      </c>
      <c r="H93" s="11">
        <f>الجدول1[[#This Row],[O2]]/الجدول1[[#This Row],[N2]]</f>
        <v>0.28407528324011505</v>
      </c>
      <c r="I93" s="8">
        <v>13</v>
      </c>
      <c r="J93" s="8">
        <v>3294</v>
      </c>
      <c r="K93" s="8">
        <v>4</v>
      </c>
      <c r="L93" s="8">
        <v>2</v>
      </c>
      <c r="M93" s="12">
        <v>0</v>
      </c>
      <c r="N93" s="8">
        <v>2</v>
      </c>
      <c r="O93" s="8">
        <v>846</v>
      </c>
      <c r="P93" s="8" t="s">
        <v>13</v>
      </c>
      <c r="Q93" s="8" t="s">
        <v>90</v>
      </c>
      <c r="R93" s="8" t="s">
        <v>12</v>
      </c>
      <c r="S93" s="4" t="str">
        <f t="shared" si="6"/>
        <v>غير محدد</v>
      </c>
      <c r="T93" s="2" t="str" cm="1">
        <f t="array" ref="T93">IFERROR(MID(R93,MATCH(TRUE,ISNUMBER(1*MID(R93,ROW($1:$13),1)),0),COUNT(1*MID(R93,ROW($1:$13),1))),"غير محدد")</f>
        <v>غير محدد</v>
      </c>
      <c r="U93" s="13" t="s">
        <v>93</v>
      </c>
      <c r="V93" s="11">
        <f>الجدول1[[#This Row],[CO2]]/الجدول1[[#This Row],[CO]]</f>
        <v>3.8936170212765959</v>
      </c>
      <c r="W93" s="11">
        <f>الجدول1[[#This Row],[C2H2]]/الجدول1[[#This Row],[C2H4]]</f>
        <v>0</v>
      </c>
      <c r="X93" s="11">
        <f>الجدول1[[#This Row],[C2H4]]/الجدول1[[#This Row],[C2H6]]</f>
        <v>2</v>
      </c>
      <c r="Y93" s="11">
        <f>الجدول1[[#This Row],[CH4]]/الجدول1[[#This Row],[H2]]</f>
        <v>0.15384615384615385</v>
      </c>
      <c r="Z93" s="3" t="str">
        <f t="shared" ca="1" si="7"/>
        <v xml:space="preserve">0 </v>
      </c>
      <c r="AA93" s="1"/>
      <c r="AB93" s="1"/>
      <c r="AC93" s="1"/>
      <c r="AD93" s="1"/>
      <c r="AE93" s="1"/>
      <c r="AF93" s="1"/>
      <c r="AG93" s="1"/>
    </row>
    <row r="94" spans="1:33" s="14" customFormat="1" ht="24.6" customHeight="1" x14ac:dyDescent="0.2">
      <c r="A94" s="5" t="s">
        <v>107</v>
      </c>
      <c r="B94" s="5" t="s">
        <v>111</v>
      </c>
      <c r="C94" s="6" t="s">
        <v>77</v>
      </c>
      <c r="D94" s="7">
        <v>45266</v>
      </c>
      <c r="E94" s="8" t="str">
        <f t="shared" ca="1" si="8"/>
        <v xml:space="preserve">0  m 10  D </v>
      </c>
      <c r="F94" s="8">
        <v>13598</v>
      </c>
      <c r="G94" s="8">
        <v>55213</v>
      </c>
      <c r="H94" s="11">
        <f>الجدول1[[#This Row],[O2]]/الجدول1[[#This Row],[N2]]</f>
        <v>0.24628257837828046</v>
      </c>
      <c r="I94" s="8">
        <v>12</v>
      </c>
      <c r="J94" s="8">
        <v>1929</v>
      </c>
      <c r="K94" s="8">
        <v>3</v>
      </c>
      <c r="L94" s="8">
        <v>3</v>
      </c>
      <c r="M94" s="12">
        <v>0</v>
      </c>
      <c r="N94" s="8">
        <v>4</v>
      </c>
      <c r="O94" s="8">
        <v>1055</v>
      </c>
      <c r="P94" s="8" t="s">
        <v>25</v>
      </c>
      <c r="Q94" s="8" t="s">
        <v>90</v>
      </c>
      <c r="R94" s="8" t="s">
        <v>91</v>
      </c>
      <c r="S94" s="4" t="str">
        <f t="shared" si="6"/>
        <v>غير محدد</v>
      </c>
      <c r="T94" s="2" t="str" cm="1">
        <f t="array" ref="T94">IFERROR(MID(R94,MATCH(TRUE,ISNUMBER(1*MID(R94,ROW($1:$13),1)),0),COUNT(1*MID(R94,ROW($1:$13),1))),"غير محدد")</f>
        <v>غير محدد</v>
      </c>
      <c r="U94" s="8" t="s">
        <v>57</v>
      </c>
      <c r="V94" s="11">
        <f>الجدول1[[#This Row],[CO2]]/الجدول1[[#This Row],[CO]]</f>
        <v>1.8284360189573459</v>
      </c>
      <c r="W94" s="11">
        <f>الجدول1[[#This Row],[C2H2]]/الجدول1[[#This Row],[C2H4]]</f>
        <v>0</v>
      </c>
      <c r="X94" s="11">
        <f>الجدول1[[#This Row],[C2H4]]/الجدول1[[#This Row],[C2H6]]</f>
        <v>1</v>
      </c>
      <c r="Y94" s="11">
        <f>الجدول1[[#This Row],[CH4]]/الجدول1[[#This Row],[H2]]</f>
        <v>0.33333333333333331</v>
      </c>
      <c r="Z94" s="3" t="str">
        <f t="shared" ca="1" si="7"/>
        <v xml:space="preserve">0 </v>
      </c>
    </row>
    <row r="95" spans="1:33" ht="24.6" customHeight="1" x14ac:dyDescent="0.2">
      <c r="A95" s="5" t="s">
        <v>107</v>
      </c>
      <c r="B95" s="5" t="s">
        <v>112</v>
      </c>
      <c r="C95" s="6" t="s">
        <v>77</v>
      </c>
      <c r="D95" s="10">
        <v>44994</v>
      </c>
      <c r="E95" s="8" t="str">
        <f t="shared" ca="1" si="8"/>
        <v xml:space="preserve">9  m 7  D </v>
      </c>
      <c r="F95" s="8">
        <v>29764</v>
      </c>
      <c r="G95" s="8">
        <v>129360</v>
      </c>
      <c r="H95" s="11">
        <f>الجدول1[[#This Row],[O2]]/الجدول1[[#This Row],[N2]]</f>
        <v>0.23008658008658009</v>
      </c>
      <c r="I95" s="8">
        <v>14</v>
      </c>
      <c r="J95" s="8">
        <v>3637</v>
      </c>
      <c r="K95" s="8">
        <v>2</v>
      </c>
      <c r="L95" s="8">
        <v>4</v>
      </c>
      <c r="M95" s="12">
        <v>0</v>
      </c>
      <c r="N95" s="8">
        <v>1</v>
      </c>
      <c r="O95" s="8">
        <v>1063</v>
      </c>
      <c r="P95" s="8" t="s">
        <v>13</v>
      </c>
      <c r="Q95" s="8" t="s">
        <v>90</v>
      </c>
      <c r="R95" s="8" t="s">
        <v>12</v>
      </c>
      <c r="S95" s="4" t="str">
        <f t="shared" si="6"/>
        <v>غير محدد</v>
      </c>
      <c r="T95" s="2" t="str" cm="1">
        <f t="array" ref="T95">IFERROR(MID(R95,MATCH(TRUE,ISNUMBER(1*MID(R95,ROW($1:$13),1)),0),COUNT(1*MID(R95,ROW($1:$13),1))),"غير محدد")</f>
        <v>غير محدد</v>
      </c>
      <c r="U95" s="13" t="s">
        <v>93</v>
      </c>
      <c r="V95" s="11">
        <f>الجدول1[[#This Row],[CO2]]/الجدول1[[#This Row],[CO]]</f>
        <v>3.4214487300094074</v>
      </c>
      <c r="W95" s="11">
        <f>الجدول1[[#This Row],[C2H2]]/الجدول1[[#This Row],[C2H4]]</f>
        <v>0</v>
      </c>
      <c r="X95" s="11">
        <f>الجدول1[[#This Row],[C2H4]]/الجدول1[[#This Row],[C2H6]]</f>
        <v>0.5</v>
      </c>
      <c r="Y95" s="11">
        <f>الجدول1[[#This Row],[CH4]]/الجدول1[[#This Row],[H2]]</f>
        <v>7.1428571428571425E-2</v>
      </c>
      <c r="Z95" s="3" t="str">
        <f t="shared" ca="1" si="7"/>
        <v xml:space="preserve">0 </v>
      </c>
      <c r="AA95" s="1"/>
      <c r="AB95" s="1"/>
      <c r="AC95" s="1"/>
      <c r="AD95" s="1"/>
      <c r="AE95" s="1"/>
      <c r="AF95" s="1"/>
      <c r="AG95" s="1"/>
    </row>
    <row r="96" spans="1:33" ht="24.6" customHeight="1" x14ac:dyDescent="0.2">
      <c r="A96" s="5" t="s">
        <v>107</v>
      </c>
      <c r="B96" s="5" t="s">
        <v>112</v>
      </c>
      <c r="C96" s="6" t="s">
        <v>77</v>
      </c>
      <c r="D96" s="7">
        <v>45266</v>
      </c>
      <c r="E96" s="8" t="str">
        <f t="shared" ca="1" si="8"/>
        <v xml:space="preserve">0  m 10  D </v>
      </c>
      <c r="F96" s="8">
        <v>15011</v>
      </c>
      <c r="G96" s="8">
        <v>69404</v>
      </c>
      <c r="H96" s="11">
        <f>الجدول1[[#This Row],[O2]]/الجدول1[[#This Row],[N2]]</f>
        <v>0.21628436401360152</v>
      </c>
      <c r="I96" s="8">
        <v>10</v>
      </c>
      <c r="J96" s="8">
        <v>2510</v>
      </c>
      <c r="K96" s="8">
        <v>2</v>
      </c>
      <c r="L96" s="8">
        <v>3</v>
      </c>
      <c r="M96" s="12">
        <v>0</v>
      </c>
      <c r="N96" s="8">
        <v>1</v>
      </c>
      <c r="O96" s="8">
        <v>1097</v>
      </c>
      <c r="P96" s="8" t="s">
        <v>13</v>
      </c>
      <c r="Q96" s="8" t="s">
        <v>90</v>
      </c>
      <c r="R96" s="8" t="s">
        <v>91</v>
      </c>
      <c r="S96" s="4" t="str">
        <f t="shared" si="6"/>
        <v>غير محدد</v>
      </c>
      <c r="T96" s="2" t="str" cm="1">
        <f t="array" ref="T96">IFERROR(MID(R96,MATCH(TRUE,ISNUMBER(1*MID(R96,ROW($1:$13),1)),0),COUNT(1*MID(R96,ROW($1:$13),1))),"غير محدد")</f>
        <v>غير محدد</v>
      </c>
      <c r="U96" s="8" t="s">
        <v>57</v>
      </c>
      <c r="V96" s="11">
        <f>الجدول1[[#This Row],[CO2]]/الجدول1[[#This Row],[CO]]</f>
        <v>2.2880583409298088</v>
      </c>
      <c r="W96" s="11">
        <f>الجدول1[[#This Row],[C2H2]]/الجدول1[[#This Row],[C2H4]]</f>
        <v>0</v>
      </c>
      <c r="X96" s="11">
        <f>الجدول1[[#This Row],[C2H4]]/الجدول1[[#This Row],[C2H6]]</f>
        <v>0.66666666666666663</v>
      </c>
      <c r="Y96" s="11">
        <f>الجدول1[[#This Row],[CH4]]/الجدول1[[#This Row],[H2]]</f>
        <v>0.1</v>
      </c>
      <c r="Z96" s="3" t="str">
        <f t="shared" ca="1" si="7"/>
        <v xml:space="preserve">0 </v>
      </c>
      <c r="AA96" s="1"/>
      <c r="AB96" s="1"/>
      <c r="AC96" s="1"/>
      <c r="AD96" s="1"/>
      <c r="AE96" s="1"/>
      <c r="AF96" s="1"/>
      <c r="AG96" s="1"/>
    </row>
    <row r="97" spans="1:33" ht="24.6" customHeight="1" x14ac:dyDescent="0.2">
      <c r="A97" s="5" t="s">
        <v>107</v>
      </c>
      <c r="B97" s="5" t="s">
        <v>140</v>
      </c>
      <c r="C97" s="6" t="s">
        <v>108</v>
      </c>
      <c r="D97" s="7">
        <v>45266</v>
      </c>
      <c r="E97" s="8" t="str">
        <f t="shared" ca="1" si="8"/>
        <v xml:space="preserve">0  m 10  D </v>
      </c>
      <c r="F97" s="8">
        <v>10209</v>
      </c>
      <c r="G97" s="8">
        <v>47867</v>
      </c>
      <c r="H97" s="11">
        <f>الجدول1[[#This Row],[O2]]/الجدول1[[#This Row],[N2]]</f>
        <v>0.21327845906365556</v>
      </c>
      <c r="I97" s="8">
        <v>13</v>
      </c>
      <c r="J97" s="8">
        <v>1654</v>
      </c>
      <c r="K97" s="8">
        <v>3</v>
      </c>
      <c r="L97" s="8">
        <v>2</v>
      </c>
      <c r="M97" s="12">
        <v>0</v>
      </c>
      <c r="N97" s="8">
        <v>1</v>
      </c>
      <c r="O97" s="8">
        <v>1009</v>
      </c>
      <c r="P97" s="8" t="s">
        <v>13</v>
      </c>
      <c r="Q97" s="8" t="s">
        <v>90</v>
      </c>
      <c r="R97" s="8" t="s">
        <v>91</v>
      </c>
      <c r="S97" s="4" t="str">
        <f t="shared" si="6"/>
        <v>غير محدد</v>
      </c>
      <c r="T97" s="2" t="str" cm="1">
        <f t="array" ref="T97">IFERROR(MID(R97,MATCH(TRUE,ISNUMBER(1*MID(R97,ROW($1:$13),1)),0),COUNT(1*MID(R97,ROW($1:$13),1))),"غير محدد")</f>
        <v>غير محدد</v>
      </c>
      <c r="U97" s="13" t="s">
        <v>93</v>
      </c>
      <c r="V97" s="11">
        <f>الجدول1[[#This Row],[CO2]]/الجدول1[[#This Row],[CO]]</f>
        <v>1.6392467789890981</v>
      </c>
      <c r="W97" s="11">
        <f>الجدول1[[#This Row],[C2H2]]/الجدول1[[#This Row],[C2H4]]</f>
        <v>0</v>
      </c>
      <c r="X97" s="11">
        <f>الجدول1[[#This Row],[C2H4]]/الجدول1[[#This Row],[C2H6]]</f>
        <v>1.5</v>
      </c>
      <c r="Y97" s="11">
        <f>الجدول1[[#This Row],[CH4]]/الجدول1[[#This Row],[H2]]</f>
        <v>7.6923076923076927E-2</v>
      </c>
      <c r="Z97" s="3" t="str">
        <f t="shared" ca="1" si="7"/>
        <v xml:space="preserve">0 </v>
      </c>
      <c r="AA97" s="1"/>
      <c r="AB97" s="1"/>
      <c r="AC97" s="1"/>
      <c r="AD97" s="1"/>
      <c r="AE97" s="1"/>
      <c r="AF97" s="1"/>
      <c r="AG97" s="1"/>
    </row>
    <row r="98" spans="1:33" ht="24.6" customHeight="1" x14ac:dyDescent="0.2">
      <c r="A98" s="5" t="s">
        <v>107</v>
      </c>
      <c r="B98" s="5" t="s">
        <v>140</v>
      </c>
      <c r="C98" s="6" t="s">
        <v>108</v>
      </c>
      <c r="D98" s="7">
        <v>45740</v>
      </c>
      <c r="E98" s="8" t="str">
        <f t="shared" ca="1" si="8"/>
        <v xml:space="preserve">8  m 22  D </v>
      </c>
      <c r="F98" s="8">
        <v>6892</v>
      </c>
      <c r="G98" s="8">
        <v>32026</v>
      </c>
      <c r="H98" s="11">
        <f>الجدول1[[#This Row],[O2]]/الجدول1[[#This Row],[N2]]</f>
        <v>0.21520014987822395</v>
      </c>
      <c r="I98" s="8">
        <v>39</v>
      </c>
      <c r="J98" s="8">
        <v>1737</v>
      </c>
      <c r="K98" s="8">
        <v>2</v>
      </c>
      <c r="L98" s="8">
        <v>4</v>
      </c>
      <c r="M98" s="12">
        <v>0</v>
      </c>
      <c r="N98" s="8">
        <v>1</v>
      </c>
      <c r="O98" s="8">
        <v>972</v>
      </c>
      <c r="P98" s="8" t="s">
        <v>13</v>
      </c>
      <c r="Q98" s="8" t="s">
        <v>90</v>
      </c>
      <c r="R98" s="8" t="s">
        <v>151</v>
      </c>
      <c r="S98" s="4">
        <f t="shared" ref="S98:S129" si="9">IFERROR(IF(T98&gt;=1,EDATE(D98,T98),"غير محدد"),"غير محدد")</f>
        <v>45771</v>
      </c>
      <c r="T98" s="2" t="str" cm="1">
        <f t="array" ref="T98">IFERROR(MID(R98,MATCH(TRUE,ISNUMBER(1*MID(R98,ROW($1:$13),1)),0),COUNT(1*MID(R98,ROW($1:$13),1))),"غير محدد")</f>
        <v>1</v>
      </c>
      <c r="U98" s="13" t="s">
        <v>93</v>
      </c>
      <c r="V98" s="11">
        <f>الجدول1[[#This Row],[CO2]]/الجدول1[[#This Row],[CO]]</f>
        <v>1.787037037037037</v>
      </c>
      <c r="W98" s="11">
        <f>الجدول1[[#This Row],[C2H2]]/الجدول1[[#This Row],[C2H4]]</f>
        <v>0</v>
      </c>
      <c r="X98" s="11">
        <f>الجدول1[[#This Row],[C2H4]]/الجدول1[[#This Row],[C2H6]]</f>
        <v>0.5</v>
      </c>
      <c r="Y98" s="11">
        <f>الجدول1[[#This Row],[CH4]]/الجدول1[[#This Row],[H2]]</f>
        <v>2.564102564102564E-2</v>
      </c>
      <c r="Z98" s="3" t="str">
        <f t="shared" ref="Z98:Z129" ca="1" si="10">IFERROR(DATEDIF(S98,TODAY(),"MD") &amp; "   ","0 ")</f>
        <v xml:space="preserve">22   </v>
      </c>
      <c r="AA98" s="1"/>
      <c r="AB98" s="1"/>
      <c r="AC98" s="1"/>
      <c r="AD98" s="1"/>
      <c r="AE98" s="1"/>
      <c r="AF98" s="1"/>
      <c r="AG98" s="1"/>
    </row>
    <row r="99" spans="1:33" ht="24.6" customHeight="1" x14ac:dyDescent="0.2">
      <c r="A99" s="5" t="s">
        <v>107</v>
      </c>
      <c r="B99" s="5" t="s">
        <v>140</v>
      </c>
      <c r="C99" s="6" t="s">
        <v>108</v>
      </c>
      <c r="D99" s="7">
        <v>45797</v>
      </c>
      <c r="E99" s="8" t="str">
        <f t="shared" ca="1" si="8"/>
        <v xml:space="preserve">6  m 26  D </v>
      </c>
      <c r="F99" s="8">
        <v>8643</v>
      </c>
      <c r="G99" s="8">
        <v>26457</v>
      </c>
      <c r="H99" s="11">
        <f>الجدول1[[#This Row],[O2]]/الجدول1[[#This Row],[N2]]</f>
        <v>0.32668102959519218</v>
      </c>
      <c r="I99" s="8">
        <v>29</v>
      </c>
      <c r="J99" s="8">
        <v>1617</v>
      </c>
      <c r="K99" s="8">
        <v>1</v>
      </c>
      <c r="L99" s="8">
        <v>2</v>
      </c>
      <c r="M99" s="12">
        <v>0</v>
      </c>
      <c r="N99" s="8">
        <v>1</v>
      </c>
      <c r="O99" s="8">
        <v>933</v>
      </c>
      <c r="P99" s="8" t="s">
        <v>13</v>
      </c>
      <c r="Q99" s="8" t="s">
        <v>90</v>
      </c>
      <c r="R99" s="8" t="s">
        <v>150</v>
      </c>
      <c r="S99" s="4">
        <f t="shared" si="9"/>
        <v>45981</v>
      </c>
      <c r="T99" s="2" t="str" cm="1">
        <f t="array" ref="T99">IFERROR(MID(R99,MATCH(TRUE,ISNUMBER(1*MID(R99,ROW($1:$13),1)),0),COUNT(1*MID(R99,ROW($1:$13),1))),"غير محدد")</f>
        <v>6</v>
      </c>
      <c r="U99" s="8" t="s">
        <v>57</v>
      </c>
      <c r="V99" s="11">
        <f>الجدول1[[#This Row],[CO2]]/الجدول1[[#This Row],[CO]]</f>
        <v>1.7331189710610932</v>
      </c>
      <c r="W99" s="11">
        <f>الجدول1[[#This Row],[C2H2]]/الجدول1[[#This Row],[C2H4]]</f>
        <v>0</v>
      </c>
      <c r="X99" s="11">
        <f>الجدول1[[#This Row],[C2H4]]/الجدول1[[#This Row],[C2H6]]</f>
        <v>0.5</v>
      </c>
      <c r="Y99" s="11">
        <f>الجدول1[[#This Row],[CH4]]/الجدول1[[#This Row],[H2]]</f>
        <v>3.4482758620689655E-2</v>
      </c>
      <c r="Z99" s="3" t="str">
        <f t="shared" ca="1" si="10"/>
        <v xml:space="preserve">26   </v>
      </c>
      <c r="AA99" s="1"/>
      <c r="AB99" s="1"/>
      <c r="AC99" s="1"/>
      <c r="AD99" s="1"/>
      <c r="AE99" s="1"/>
      <c r="AF99" s="1"/>
      <c r="AG99" s="1"/>
    </row>
    <row r="100" spans="1:33" ht="24.6" customHeight="1" x14ac:dyDescent="0.2">
      <c r="A100" s="5" t="s">
        <v>107</v>
      </c>
      <c r="B100" s="5" t="s">
        <v>139</v>
      </c>
      <c r="C100" s="6" t="s">
        <v>108</v>
      </c>
      <c r="D100" s="7">
        <v>45266</v>
      </c>
      <c r="E100" s="8" t="str">
        <f t="shared" ca="1" si="8"/>
        <v xml:space="preserve">0  m 10  D </v>
      </c>
      <c r="F100" s="8">
        <v>17867</v>
      </c>
      <c r="G100" s="8">
        <v>76026</v>
      </c>
      <c r="H100" s="11">
        <f>الجدول1[[#This Row],[O2]]/الجدول1[[#This Row],[N2]]</f>
        <v>0.2350117065214532</v>
      </c>
      <c r="I100" s="8">
        <v>10</v>
      </c>
      <c r="J100" s="8">
        <v>1787</v>
      </c>
      <c r="K100" s="8">
        <v>2</v>
      </c>
      <c r="L100" s="8">
        <v>3</v>
      </c>
      <c r="M100" s="12">
        <v>0</v>
      </c>
      <c r="N100" s="8">
        <v>2</v>
      </c>
      <c r="O100" s="8">
        <v>1002</v>
      </c>
      <c r="P100" s="8" t="s">
        <v>13</v>
      </c>
      <c r="Q100" s="8" t="s">
        <v>90</v>
      </c>
      <c r="R100" s="8" t="s">
        <v>91</v>
      </c>
      <c r="S100" s="4" t="str">
        <f t="shared" si="9"/>
        <v>غير محدد</v>
      </c>
      <c r="T100" s="2" t="str" cm="1">
        <f t="array" ref="T100">IFERROR(MID(R100,MATCH(TRUE,ISNUMBER(1*MID(R100,ROW($1:$13),1)),0),COUNT(1*MID(R100,ROW($1:$13),1))),"غير محدد")</f>
        <v>غير محدد</v>
      </c>
      <c r="U100" s="8" t="s">
        <v>57</v>
      </c>
      <c r="V100" s="11">
        <f>الجدول1[[#This Row],[CO2]]/الجدول1[[#This Row],[CO]]</f>
        <v>1.7834331337325349</v>
      </c>
      <c r="W100" s="11">
        <f>الجدول1[[#This Row],[C2H2]]/الجدول1[[#This Row],[C2H4]]</f>
        <v>0</v>
      </c>
      <c r="X100" s="11">
        <f>الجدول1[[#This Row],[C2H4]]/الجدول1[[#This Row],[C2H6]]</f>
        <v>0.66666666666666663</v>
      </c>
      <c r="Y100" s="11">
        <f>الجدول1[[#This Row],[CH4]]/الجدول1[[#This Row],[H2]]</f>
        <v>0.2</v>
      </c>
      <c r="Z100" s="3" t="str">
        <f t="shared" ca="1" si="10"/>
        <v xml:space="preserve">0 </v>
      </c>
      <c r="AA100" s="1"/>
      <c r="AB100" s="1"/>
      <c r="AC100" s="1"/>
      <c r="AD100" s="1"/>
      <c r="AE100" s="1"/>
      <c r="AF100" s="1"/>
      <c r="AG100" s="1"/>
    </row>
    <row r="101" spans="1:33" s="14" customFormat="1" ht="24.6" customHeight="1" x14ac:dyDescent="0.2">
      <c r="A101" s="5" t="s">
        <v>107</v>
      </c>
      <c r="B101" s="5" t="s">
        <v>138</v>
      </c>
      <c r="C101" s="6" t="s">
        <v>108</v>
      </c>
      <c r="D101" s="7">
        <v>45266</v>
      </c>
      <c r="E101" s="8" t="str">
        <f t="shared" ca="1" si="8"/>
        <v xml:space="preserve">0  m 10  D </v>
      </c>
      <c r="F101" s="8">
        <v>21426</v>
      </c>
      <c r="G101" s="8">
        <v>102138</v>
      </c>
      <c r="H101" s="11">
        <f>الجدول1[[#This Row],[O2]]/الجدول1[[#This Row],[N2]]</f>
        <v>0.20977501028020912</v>
      </c>
      <c r="I101" s="8">
        <v>15</v>
      </c>
      <c r="J101" s="8">
        <v>2043</v>
      </c>
      <c r="K101" s="8">
        <v>2</v>
      </c>
      <c r="L101" s="8">
        <v>3</v>
      </c>
      <c r="M101" s="12">
        <v>0</v>
      </c>
      <c r="N101" s="8">
        <v>1</v>
      </c>
      <c r="O101" s="8">
        <v>1117</v>
      </c>
      <c r="P101" s="8" t="s">
        <v>13</v>
      </c>
      <c r="Q101" s="8" t="s">
        <v>90</v>
      </c>
      <c r="R101" s="8" t="s">
        <v>91</v>
      </c>
      <c r="S101" s="4" t="str">
        <f t="shared" si="9"/>
        <v>غير محدد</v>
      </c>
      <c r="T101" s="2" t="str" cm="1">
        <f t="array" ref="T101">IFERROR(MID(R101,MATCH(TRUE,ISNUMBER(1*MID(R101,ROW($1:$13),1)),0),COUNT(1*MID(R101,ROW($1:$13),1))),"غير محدد")</f>
        <v>غير محدد</v>
      </c>
      <c r="U101" s="8" t="s">
        <v>57</v>
      </c>
      <c r="V101" s="11">
        <f>الجدول1[[#This Row],[CO2]]/الجدول1[[#This Row],[CO]]</f>
        <v>1.8290062667860341</v>
      </c>
      <c r="W101" s="11">
        <f>الجدول1[[#This Row],[C2H2]]/الجدول1[[#This Row],[C2H4]]</f>
        <v>0</v>
      </c>
      <c r="X101" s="11">
        <f>الجدول1[[#This Row],[C2H4]]/الجدول1[[#This Row],[C2H6]]</f>
        <v>0.66666666666666663</v>
      </c>
      <c r="Y101" s="11">
        <f>الجدول1[[#This Row],[CH4]]/الجدول1[[#This Row],[H2]]</f>
        <v>6.6666666666666666E-2</v>
      </c>
      <c r="Z101" s="3" t="str">
        <f t="shared" ca="1" si="10"/>
        <v xml:space="preserve">0 </v>
      </c>
    </row>
    <row r="102" spans="1:33" s="14" customFormat="1" ht="24.6" customHeight="1" x14ac:dyDescent="0.2">
      <c r="A102" s="5" t="s">
        <v>107</v>
      </c>
      <c r="B102" s="5" t="s">
        <v>11</v>
      </c>
      <c r="C102" s="6" t="s">
        <v>16</v>
      </c>
      <c r="D102" s="10">
        <v>45266</v>
      </c>
      <c r="E102" s="8" t="str">
        <f t="shared" ca="1" si="8"/>
        <v xml:space="preserve">0  m 10  D </v>
      </c>
      <c r="F102" s="8">
        <v>14457</v>
      </c>
      <c r="G102" s="8">
        <v>82915</v>
      </c>
      <c r="H102" s="11">
        <f>الجدول1[[#This Row],[O2]]/الجدول1[[#This Row],[N2]]</f>
        <v>0.17435928360369052</v>
      </c>
      <c r="I102" s="8">
        <v>13</v>
      </c>
      <c r="J102" s="8">
        <v>3314</v>
      </c>
      <c r="K102" s="8">
        <v>9</v>
      </c>
      <c r="L102" s="8">
        <v>4</v>
      </c>
      <c r="M102" s="12">
        <v>0</v>
      </c>
      <c r="N102" s="8">
        <v>3</v>
      </c>
      <c r="O102" s="8">
        <v>921</v>
      </c>
      <c r="P102" s="8" t="s">
        <v>13</v>
      </c>
      <c r="Q102" s="8" t="s">
        <v>90</v>
      </c>
      <c r="R102" s="8" t="s">
        <v>137</v>
      </c>
      <c r="S102" s="4" t="str">
        <f t="shared" si="9"/>
        <v>غير محدد</v>
      </c>
      <c r="T102" s="2" t="str" cm="1">
        <f t="array" ref="T102">IFERROR(MID(R102,MATCH(TRUE,ISNUMBER(1*MID(R102,ROW($1:$13),1)),0),COUNT(1*MID(R102,ROW($1:$13),1))),"غير محدد")</f>
        <v>غير محدد</v>
      </c>
      <c r="U102" s="13" t="s">
        <v>93</v>
      </c>
      <c r="V102" s="11">
        <f>الجدول1[[#This Row],[CO2]]/الجدول1[[#This Row],[CO]]</f>
        <v>3.5982627578718782</v>
      </c>
      <c r="W102" s="11">
        <f>الجدول1[[#This Row],[C2H2]]/الجدول1[[#This Row],[C2H4]]</f>
        <v>0</v>
      </c>
      <c r="X102" s="11">
        <f>الجدول1[[#This Row],[C2H4]]/الجدول1[[#This Row],[C2H6]]</f>
        <v>2.25</v>
      </c>
      <c r="Y102" s="11">
        <f>الجدول1[[#This Row],[CH4]]/الجدول1[[#This Row],[H2]]</f>
        <v>0.23076923076923078</v>
      </c>
      <c r="Z102" s="3" t="str">
        <f t="shared" ca="1" si="10"/>
        <v xml:space="preserve">0 </v>
      </c>
    </row>
    <row r="103" spans="1:33" ht="24.6" customHeight="1" x14ac:dyDescent="0.2">
      <c r="A103" s="5" t="s">
        <v>41</v>
      </c>
      <c r="B103" s="5" t="s">
        <v>15</v>
      </c>
      <c r="C103" s="6" t="s">
        <v>16</v>
      </c>
      <c r="D103" s="10">
        <v>44895</v>
      </c>
      <c r="E103" s="8" t="str">
        <f t="shared" ca="1" si="8"/>
        <v xml:space="preserve">0  m 16  D </v>
      </c>
      <c r="F103" s="8">
        <v>974</v>
      </c>
      <c r="G103" s="8">
        <v>21454</v>
      </c>
      <c r="H103" s="11">
        <f>الجدول1[[#This Row],[O2]]/الجدول1[[#This Row],[N2]]</f>
        <v>4.5399459308287496E-2</v>
      </c>
      <c r="I103" s="8">
        <v>49</v>
      </c>
      <c r="J103" s="8">
        <v>395</v>
      </c>
      <c r="K103" s="8">
        <v>4</v>
      </c>
      <c r="L103" s="8">
        <v>48</v>
      </c>
      <c r="M103" s="12">
        <v>0</v>
      </c>
      <c r="N103" s="8">
        <v>62</v>
      </c>
      <c r="O103" s="8">
        <v>158</v>
      </c>
      <c r="P103" s="8" t="s">
        <v>21</v>
      </c>
      <c r="Q103" s="8">
        <v>1</v>
      </c>
      <c r="R103" s="15" t="s">
        <v>22</v>
      </c>
      <c r="S103" s="4" t="str">
        <f t="shared" si="9"/>
        <v>غير محدد</v>
      </c>
      <c r="T103" s="2" t="str" cm="1">
        <f t="array" ref="T103">IFERROR(MID(R103,MATCH(TRUE,ISNUMBER(1*MID(R103,ROW($1:$13),1)),0),COUNT(1*MID(R103,ROW($1:$13),1))),"غير محدد")</f>
        <v>غير محدد</v>
      </c>
      <c r="U103" s="13" t="s">
        <v>93</v>
      </c>
      <c r="V103" s="11">
        <f>الجدول1[[#This Row],[CO2]]/الجدول1[[#This Row],[CO]]</f>
        <v>2.5</v>
      </c>
      <c r="W103" s="11">
        <f>الجدول1[[#This Row],[C2H2]]/الجدول1[[#This Row],[C2H4]]</f>
        <v>0</v>
      </c>
      <c r="X103" s="11">
        <f>الجدول1[[#This Row],[C2H4]]/الجدول1[[#This Row],[C2H6]]</f>
        <v>8.3333333333333329E-2</v>
      </c>
      <c r="Y103" s="17">
        <f>الجدول1[[#This Row],[CH4]]/الجدول1[[#This Row],[H2]]</f>
        <v>1.2653061224489797</v>
      </c>
      <c r="Z103" s="3" t="str">
        <f t="shared" ca="1" si="10"/>
        <v xml:space="preserve">0 </v>
      </c>
      <c r="AA103" s="1"/>
      <c r="AB103" s="1"/>
      <c r="AC103" s="1"/>
      <c r="AD103" s="1"/>
      <c r="AE103" s="1"/>
      <c r="AF103" s="1"/>
      <c r="AG103" s="1"/>
    </row>
    <row r="104" spans="1:33" s="14" customFormat="1" ht="24.6" customHeight="1" x14ac:dyDescent="0.2">
      <c r="A104" s="5" t="s">
        <v>41</v>
      </c>
      <c r="B104" s="5" t="s">
        <v>15</v>
      </c>
      <c r="C104" s="6" t="s">
        <v>16</v>
      </c>
      <c r="D104" s="7">
        <v>45266</v>
      </c>
      <c r="E104" s="8" t="str">
        <f t="shared" ca="1" si="8"/>
        <v xml:space="preserve">0  m 10  D </v>
      </c>
      <c r="F104" s="8">
        <v>5011</v>
      </c>
      <c r="G104" s="8">
        <v>59900</v>
      </c>
      <c r="H104" s="11">
        <f>الجدول1[[#This Row],[O2]]/الجدول1[[#This Row],[N2]]</f>
        <v>8.3656093489148584E-2</v>
      </c>
      <c r="I104" s="8">
        <v>29</v>
      </c>
      <c r="J104" s="8">
        <v>1036</v>
      </c>
      <c r="K104" s="8">
        <v>8</v>
      </c>
      <c r="L104" s="8">
        <v>98</v>
      </c>
      <c r="M104" s="12">
        <v>10</v>
      </c>
      <c r="N104" s="8">
        <v>14</v>
      </c>
      <c r="O104" s="8">
        <v>88</v>
      </c>
      <c r="P104" s="8" t="s">
        <v>125</v>
      </c>
      <c r="Q104" s="8" t="s">
        <v>90</v>
      </c>
      <c r="R104" s="18" t="s">
        <v>12</v>
      </c>
      <c r="S104" s="4" t="str">
        <f t="shared" si="9"/>
        <v>غير محدد</v>
      </c>
      <c r="T104" s="2" t="str" cm="1">
        <f t="array" ref="T104">IFERROR(MID(R104,MATCH(TRUE,ISNUMBER(1*MID(R104,ROW($1:$13),1)),0),COUNT(1*MID(R104,ROW($1:$13),1))),"غير محدد")</f>
        <v>غير محدد</v>
      </c>
      <c r="U104" s="13" t="s">
        <v>93</v>
      </c>
      <c r="V104" s="11">
        <f>الجدول1[[#This Row],[CO2]]/الجدول1[[#This Row],[CO]]</f>
        <v>11.772727272727273</v>
      </c>
      <c r="W104" s="11">
        <f>الجدول1[[#This Row],[C2H2]]/الجدول1[[#This Row],[C2H4]]</f>
        <v>1.25</v>
      </c>
      <c r="X104" s="11">
        <f>الجدول1[[#This Row],[C2H4]]/الجدول1[[#This Row],[C2H6]]</f>
        <v>8.1632653061224483E-2</v>
      </c>
      <c r="Y104" s="17">
        <f>الجدول1[[#This Row],[CH4]]/الجدول1[[#This Row],[H2]]</f>
        <v>0.48275862068965519</v>
      </c>
      <c r="Z104" s="3" t="str">
        <f t="shared" ca="1" si="10"/>
        <v xml:space="preserve">0 </v>
      </c>
    </row>
    <row r="105" spans="1:33" s="14" customFormat="1" ht="24.6" customHeight="1" x14ac:dyDescent="0.2">
      <c r="A105" s="5" t="s">
        <v>41</v>
      </c>
      <c r="B105" s="5" t="s">
        <v>15</v>
      </c>
      <c r="C105" s="6" t="s">
        <v>16</v>
      </c>
      <c r="D105" s="7">
        <v>45372</v>
      </c>
      <c r="E105" s="8" t="str">
        <f t="shared" ca="1" si="8"/>
        <v xml:space="preserve">8  m 25  D </v>
      </c>
      <c r="F105" s="8">
        <v>7714</v>
      </c>
      <c r="G105" s="8">
        <v>77376</v>
      </c>
      <c r="H105" s="11">
        <f>الجدول1[[#This Row],[O2]]/الجدول1[[#This Row],[N2]]</f>
        <v>9.9694995864350697E-2</v>
      </c>
      <c r="I105" s="8">
        <v>5</v>
      </c>
      <c r="J105" s="8">
        <v>1690</v>
      </c>
      <c r="K105" s="8">
        <v>150</v>
      </c>
      <c r="L105" s="8">
        <v>2</v>
      </c>
      <c r="M105" s="12">
        <v>0</v>
      </c>
      <c r="N105" s="8">
        <v>54</v>
      </c>
      <c r="O105" s="8">
        <v>158</v>
      </c>
      <c r="P105" s="8" t="s">
        <v>13</v>
      </c>
      <c r="Q105" s="8" t="s">
        <v>90</v>
      </c>
      <c r="R105" s="18" t="s">
        <v>150</v>
      </c>
      <c r="S105" s="4">
        <f t="shared" si="9"/>
        <v>45556</v>
      </c>
      <c r="T105" s="2" t="str" cm="1">
        <f t="array" ref="T105">IFERROR(MID(R105,MATCH(TRUE,ISNUMBER(1*MID(R105,ROW($1:$13),1)),0),COUNT(1*MID(R105,ROW($1:$13),1))),"غير محدد")</f>
        <v>6</v>
      </c>
      <c r="U105" s="13" t="s">
        <v>93</v>
      </c>
      <c r="V105" s="11">
        <f>الجدول1[[#This Row],[CO2]]/الجدول1[[#This Row],[CO]]</f>
        <v>10.69620253164557</v>
      </c>
      <c r="W105" s="11">
        <f>الجدول1[[#This Row],[C2H2]]/الجدول1[[#This Row],[C2H4]]</f>
        <v>0</v>
      </c>
      <c r="X105" s="11">
        <f>الجدول1[[#This Row],[C2H4]]/الجدول1[[#This Row],[C2H6]]</f>
        <v>75</v>
      </c>
      <c r="Y105" s="17">
        <f>الجدول1[[#This Row],[CH4]]/الجدول1[[#This Row],[H2]]</f>
        <v>10.8</v>
      </c>
      <c r="Z105" s="3" t="str">
        <f t="shared" ca="1" si="10"/>
        <v xml:space="preserve">25   </v>
      </c>
    </row>
    <row r="106" spans="1:33" s="14" customFormat="1" ht="24.6" customHeight="1" x14ac:dyDescent="0.2">
      <c r="A106" s="5" t="s">
        <v>41</v>
      </c>
      <c r="B106" s="5" t="s">
        <v>15</v>
      </c>
      <c r="C106" s="6" t="s">
        <v>16</v>
      </c>
      <c r="D106" s="7">
        <v>45875</v>
      </c>
      <c r="E106" s="8" t="str">
        <f t="shared" ca="1" si="8"/>
        <v xml:space="preserve">4  m 10  D </v>
      </c>
      <c r="F106" s="8">
        <v>19599</v>
      </c>
      <c r="G106" s="8">
        <v>164846</v>
      </c>
      <c r="H106" s="11">
        <f>الجدول1[[#This Row],[O2]]/الجدول1[[#This Row],[N2]]</f>
        <v>0.11889278478094707</v>
      </c>
      <c r="I106" s="8">
        <v>30</v>
      </c>
      <c r="J106" s="8">
        <v>3446</v>
      </c>
      <c r="K106" s="8">
        <v>2</v>
      </c>
      <c r="L106" s="8">
        <v>265</v>
      </c>
      <c r="M106" s="12">
        <v>0</v>
      </c>
      <c r="N106" s="8">
        <v>114</v>
      </c>
      <c r="O106" s="8">
        <v>244</v>
      </c>
      <c r="P106" s="44" t="s">
        <v>166</v>
      </c>
      <c r="Q106" s="8" t="s">
        <v>90</v>
      </c>
      <c r="R106" s="18" t="s">
        <v>153</v>
      </c>
      <c r="S106" s="4">
        <f t="shared" si="9"/>
        <v>45967</v>
      </c>
      <c r="T106" s="2" t="str" cm="1">
        <f t="array" ref="T106">IFERROR(MID(R106,MATCH(TRUE,ISNUMBER(1*MID(R106,ROW($1:$13),1)),0),COUNT(1*MID(R106,ROW($1:$13),1))),"غير محدد")</f>
        <v>3</v>
      </c>
      <c r="U106" s="8" t="s">
        <v>57</v>
      </c>
      <c r="V106" s="11">
        <f>الجدول1[[#This Row],[CO2]]/الجدول1[[#This Row],[CO]]</f>
        <v>14.122950819672131</v>
      </c>
      <c r="W106" s="11">
        <f>الجدول1[[#This Row],[C2H2]]/الجدول1[[#This Row],[C2H4]]</f>
        <v>0</v>
      </c>
      <c r="X106" s="11">
        <f>الجدول1[[#This Row],[C2H4]]/الجدول1[[#This Row],[C2H6]]</f>
        <v>7.5471698113207548E-3</v>
      </c>
      <c r="Y106" s="17">
        <f>الجدول1[[#This Row],[CH4]]/الجدول1[[#This Row],[H2]]</f>
        <v>3.8</v>
      </c>
      <c r="Z106" s="3" t="str">
        <f t="shared" ca="1" si="10"/>
        <v xml:space="preserve">10   </v>
      </c>
    </row>
    <row r="107" spans="1:33" s="14" customFormat="1" ht="24.6" customHeight="1" x14ac:dyDescent="0.2">
      <c r="A107" s="5" t="s">
        <v>41</v>
      </c>
      <c r="B107" s="5" t="s">
        <v>24</v>
      </c>
      <c r="C107" s="6" t="s">
        <v>16</v>
      </c>
      <c r="D107" s="10">
        <v>44895</v>
      </c>
      <c r="E107" s="8" t="str">
        <f t="shared" ca="1" si="8"/>
        <v xml:space="preserve">0  m 16  D </v>
      </c>
      <c r="F107" s="8">
        <v>1424</v>
      </c>
      <c r="G107" s="8">
        <v>31891</v>
      </c>
      <c r="H107" s="11">
        <f>الجدول1[[#This Row],[O2]]/الجدول1[[#This Row],[N2]]</f>
        <v>4.4652096202690415E-2</v>
      </c>
      <c r="I107" s="8">
        <v>103</v>
      </c>
      <c r="J107" s="8">
        <v>1573</v>
      </c>
      <c r="K107" s="8">
        <v>4</v>
      </c>
      <c r="L107" s="8">
        <v>135</v>
      </c>
      <c r="M107" s="12">
        <v>0</v>
      </c>
      <c r="N107" s="8">
        <v>86</v>
      </c>
      <c r="O107" s="8">
        <v>149</v>
      </c>
      <c r="P107" s="8" t="s">
        <v>21</v>
      </c>
      <c r="Q107" s="8">
        <v>1</v>
      </c>
      <c r="R107" s="15" t="s">
        <v>22</v>
      </c>
      <c r="S107" s="4" t="str">
        <f t="shared" si="9"/>
        <v>غير محدد</v>
      </c>
      <c r="T107" s="2" t="str" cm="1">
        <f t="array" ref="T107">IFERROR(MID(R107,MATCH(TRUE,ISNUMBER(1*MID(R107,ROW($1:$13),1)),0),COUNT(1*MID(R107,ROW($1:$13),1))),"غير محدد")</f>
        <v>غير محدد</v>
      </c>
      <c r="U107" s="13" t="s">
        <v>93</v>
      </c>
      <c r="V107" s="11">
        <f>الجدول1[[#This Row],[CO2]]/الجدول1[[#This Row],[CO]]</f>
        <v>10.557046979865772</v>
      </c>
      <c r="W107" s="11">
        <f>الجدول1[[#This Row],[C2H2]]/الجدول1[[#This Row],[C2H4]]</f>
        <v>0</v>
      </c>
      <c r="X107" s="11">
        <f>الجدول1[[#This Row],[C2H4]]/الجدول1[[#This Row],[C2H6]]</f>
        <v>2.9629629629629631E-2</v>
      </c>
      <c r="Y107" s="17">
        <f>الجدول1[[#This Row],[CH4]]/الجدول1[[#This Row],[H2]]</f>
        <v>0.83495145631067957</v>
      </c>
      <c r="Z107" s="3" t="str">
        <f t="shared" ca="1" si="10"/>
        <v xml:space="preserve">0 </v>
      </c>
    </row>
    <row r="108" spans="1:33" s="14" customFormat="1" ht="24.6" customHeight="1" x14ac:dyDescent="0.2">
      <c r="A108" s="5" t="s">
        <v>41</v>
      </c>
      <c r="B108" s="5" t="s">
        <v>24</v>
      </c>
      <c r="C108" s="6" t="s">
        <v>16</v>
      </c>
      <c r="D108" s="10">
        <v>45769</v>
      </c>
      <c r="E108" s="8" t="str">
        <f t="shared" ca="1" si="8"/>
        <v xml:space="preserve">7  m 24  D </v>
      </c>
      <c r="F108" s="8">
        <v>3629</v>
      </c>
      <c r="G108" s="8">
        <v>62323</v>
      </c>
      <c r="H108" s="11">
        <f>الجدول1[[#This Row],[O2]]/الجدول1[[#This Row],[N2]]</f>
        <v>5.8228904256855417E-2</v>
      </c>
      <c r="I108" s="8">
        <v>26</v>
      </c>
      <c r="J108" s="8">
        <v>1380</v>
      </c>
      <c r="K108" s="8">
        <v>3</v>
      </c>
      <c r="L108" s="8">
        <v>203</v>
      </c>
      <c r="M108" s="12">
        <v>0</v>
      </c>
      <c r="N108" s="8">
        <v>117</v>
      </c>
      <c r="O108" s="8">
        <v>254</v>
      </c>
      <c r="P108" s="8" t="s">
        <v>11</v>
      </c>
      <c r="Q108" s="8" t="s">
        <v>90</v>
      </c>
      <c r="R108" s="15" t="s">
        <v>153</v>
      </c>
      <c r="S108" s="4">
        <f t="shared" si="9"/>
        <v>45860</v>
      </c>
      <c r="T108" s="2" t="str" cm="1">
        <f t="array" ref="T108">IFERROR(MID(R108,MATCH(TRUE,ISNUMBER(1*MID(R108,ROW($1:$13),1)),0),COUNT(1*MID(R108,ROW($1:$13),1))),"غير محدد")</f>
        <v>3</v>
      </c>
      <c r="U108" s="8" t="s">
        <v>57</v>
      </c>
      <c r="V108" s="11">
        <f>الجدول1[[#This Row],[CO2]]/الجدول1[[#This Row],[CO]]</f>
        <v>5.4330708661417324</v>
      </c>
      <c r="W108" s="11">
        <f>الجدول1[[#This Row],[C2H2]]/الجدول1[[#This Row],[C2H4]]</f>
        <v>0</v>
      </c>
      <c r="X108" s="11">
        <f>الجدول1[[#This Row],[C2H4]]/الجدول1[[#This Row],[C2H6]]</f>
        <v>1.4778325123152709E-2</v>
      </c>
      <c r="Y108" s="17">
        <f>الجدول1[[#This Row],[CH4]]/الجدول1[[#This Row],[H2]]</f>
        <v>4.5</v>
      </c>
      <c r="Z108" s="3" t="str">
        <f t="shared" ca="1" si="10"/>
        <v xml:space="preserve">24   </v>
      </c>
    </row>
    <row r="109" spans="1:33" s="14" customFormat="1" ht="24.6" customHeight="1" x14ac:dyDescent="0.2">
      <c r="A109" s="5" t="s">
        <v>41</v>
      </c>
      <c r="B109" s="5" t="s">
        <v>24</v>
      </c>
      <c r="C109" s="6" t="s">
        <v>16</v>
      </c>
      <c r="D109" s="10">
        <v>45875</v>
      </c>
      <c r="E109" s="8" t="str">
        <f t="shared" ca="1" si="8"/>
        <v xml:space="preserve">4  m 10  D </v>
      </c>
      <c r="F109" s="8">
        <v>29461</v>
      </c>
      <c r="G109" s="8">
        <v>145646</v>
      </c>
      <c r="H109" s="11">
        <f>الجدول1[[#This Row],[O2]]/الجدول1[[#This Row],[N2]]</f>
        <v>0.20227812641610479</v>
      </c>
      <c r="I109" s="8">
        <v>138</v>
      </c>
      <c r="J109" s="8">
        <v>2442</v>
      </c>
      <c r="K109" s="8">
        <v>1</v>
      </c>
      <c r="L109" s="8">
        <v>85</v>
      </c>
      <c r="M109" s="12">
        <v>0</v>
      </c>
      <c r="N109" s="8">
        <v>35</v>
      </c>
      <c r="O109" s="8">
        <v>82</v>
      </c>
      <c r="P109" s="8" t="s">
        <v>11</v>
      </c>
      <c r="Q109" s="8" t="s">
        <v>90</v>
      </c>
      <c r="R109" s="15" t="s">
        <v>153</v>
      </c>
      <c r="S109" s="4">
        <f t="shared" si="9"/>
        <v>45967</v>
      </c>
      <c r="T109" s="2" t="str" cm="1">
        <f t="array" ref="T109">IFERROR(MID(R109,MATCH(TRUE,ISNUMBER(1*MID(R109,ROW($1:$13),1)),0),COUNT(1*MID(R109,ROW($1:$13),1))),"غير محدد")</f>
        <v>3</v>
      </c>
      <c r="U109" s="8" t="s">
        <v>57</v>
      </c>
      <c r="V109" s="11">
        <f>الجدول1[[#This Row],[CO2]]/الجدول1[[#This Row],[CO]]</f>
        <v>29.780487804878049</v>
      </c>
      <c r="W109" s="11">
        <f>الجدول1[[#This Row],[C2H2]]/الجدول1[[#This Row],[C2H4]]</f>
        <v>0</v>
      </c>
      <c r="X109" s="11">
        <f>الجدول1[[#This Row],[C2H4]]/الجدول1[[#This Row],[C2H6]]</f>
        <v>1.1764705882352941E-2</v>
      </c>
      <c r="Y109" s="17">
        <f>الجدول1[[#This Row],[CH4]]/الجدول1[[#This Row],[H2]]</f>
        <v>0.25362318840579712</v>
      </c>
      <c r="Z109" s="3" t="str">
        <f t="shared" ca="1" si="10"/>
        <v xml:space="preserve">10   </v>
      </c>
    </row>
    <row r="110" spans="1:33" s="14" customFormat="1" ht="24.6" customHeight="1" x14ac:dyDescent="0.2">
      <c r="A110" s="5" t="s">
        <v>41</v>
      </c>
      <c r="B110" s="5" t="s">
        <v>29</v>
      </c>
      <c r="C110" s="6" t="s">
        <v>16</v>
      </c>
      <c r="D110" s="10">
        <v>44895</v>
      </c>
      <c r="E110" s="8" t="str">
        <f t="shared" ca="1" si="8"/>
        <v xml:space="preserve">0  m 16  D </v>
      </c>
      <c r="F110" s="8">
        <v>16854</v>
      </c>
      <c r="G110" s="8">
        <v>44132</v>
      </c>
      <c r="H110" s="11">
        <f>الجدول1[[#This Row],[O2]]/الجدول1[[#This Row],[N2]]</f>
        <v>0.38189975527961567</v>
      </c>
      <c r="I110" s="8">
        <v>20</v>
      </c>
      <c r="J110" s="8">
        <v>3881</v>
      </c>
      <c r="K110" s="8">
        <v>3</v>
      </c>
      <c r="L110" s="8">
        <v>5</v>
      </c>
      <c r="M110" s="12">
        <v>0</v>
      </c>
      <c r="N110" s="8">
        <v>4</v>
      </c>
      <c r="O110" s="8">
        <v>867</v>
      </c>
      <c r="P110" s="8" t="s">
        <v>25</v>
      </c>
      <c r="Q110" s="8">
        <v>2</v>
      </c>
      <c r="R110" s="8" t="s">
        <v>12</v>
      </c>
      <c r="S110" s="4" t="str">
        <f t="shared" si="9"/>
        <v>غير محدد</v>
      </c>
      <c r="T110" s="2" t="str" cm="1">
        <f t="array" ref="T110">IFERROR(MID(R110,MATCH(TRUE,ISNUMBER(1*MID(R110,ROW($1:$13),1)),0),COUNT(1*MID(R110,ROW($1:$13),1))),"غير محدد")</f>
        <v>غير محدد</v>
      </c>
      <c r="U110" s="13" t="s">
        <v>93</v>
      </c>
      <c r="V110" s="11">
        <f>الجدول1[[#This Row],[CO2]]/الجدول1[[#This Row],[CO]]</f>
        <v>4.4763552479815454</v>
      </c>
      <c r="W110" s="11">
        <f>الجدول1[[#This Row],[C2H2]]/الجدول1[[#This Row],[C2H4]]</f>
        <v>0</v>
      </c>
      <c r="X110" s="11">
        <f>الجدول1[[#This Row],[C2H4]]/الجدول1[[#This Row],[C2H6]]</f>
        <v>0.6</v>
      </c>
      <c r="Y110" s="17">
        <f>الجدول1[[#This Row],[CH4]]/الجدول1[[#This Row],[H2]]</f>
        <v>0.2</v>
      </c>
      <c r="Z110" s="3" t="str">
        <f t="shared" ca="1" si="10"/>
        <v xml:space="preserve">0 </v>
      </c>
    </row>
    <row r="111" spans="1:33" s="14" customFormat="1" ht="24.6" customHeight="1" x14ac:dyDescent="0.2">
      <c r="A111" s="5" t="s">
        <v>41</v>
      </c>
      <c r="B111" s="5" t="s">
        <v>29</v>
      </c>
      <c r="C111" s="6" t="s">
        <v>16</v>
      </c>
      <c r="D111" s="10">
        <v>45119</v>
      </c>
      <c r="E111" s="8" t="str">
        <f t="shared" ca="1" si="8"/>
        <v xml:space="preserve">5  m 4  D </v>
      </c>
      <c r="F111" s="8">
        <v>2599</v>
      </c>
      <c r="G111" s="8">
        <v>24102</v>
      </c>
      <c r="H111" s="11">
        <f>الجدول1[[#This Row],[O2]]/الجدول1[[#This Row],[N2]]</f>
        <v>0.10783337482366609</v>
      </c>
      <c r="I111" s="8">
        <v>30</v>
      </c>
      <c r="J111" s="8">
        <v>793</v>
      </c>
      <c r="K111" s="8">
        <v>2</v>
      </c>
      <c r="L111" s="8">
        <v>2</v>
      </c>
      <c r="M111" s="12">
        <v>0</v>
      </c>
      <c r="N111" s="8">
        <v>4</v>
      </c>
      <c r="O111" s="8">
        <v>82</v>
      </c>
      <c r="P111" s="8" t="s">
        <v>10</v>
      </c>
      <c r="Q111" s="8" t="s">
        <v>113</v>
      </c>
      <c r="R111" s="8" t="s">
        <v>70</v>
      </c>
      <c r="S111" s="4" t="str">
        <f t="shared" si="9"/>
        <v>غير محدد</v>
      </c>
      <c r="T111" s="2" t="str" cm="1">
        <f t="array" ref="T111">IFERROR(MID(R111,MATCH(TRUE,ISNUMBER(1*MID(R111,ROW($1:$13),1)),0),COUNT(1*MID(R111,ROW($1:$13),1))),"غير محدد")</f>
        <v>غير محدد</v>
      </c>
      <c r="U111" s="13" t="s">
        <v>93</v>
      </c>
      <c r="V111" s="11">
        <f>الجدول1[[#This Row],[CO2]]/الجدول1[[#This Row],[CO]]</f>
        <v>9.6707317073170724</v>
      </c>
      <c r="W111" s="11">
        <f>الجدول1[[#This Row],[C2H2]]/الجدول1[[#This Row],[C2H4]]</f>
        <v>0</v>
      </c>
      <c r="X111" s="11">
        <f>الجدول1[[#This Row],[C2H4]]/الجدول1[[#This Row],[C2H6]]</f>
        <v>1</v>
      </c>
      <c r="Y111" s="17">
        <f>الجدول1[[#This Row],[CH4]]/الجدول1[[#This Row],[H2]]</f>
        <v>0.13333333333333333</v>
      </c>
      <c r="Z111" s="3" t="str">
        <f t="shared" ca="1" si="10"/>
        <v xml:space="preserve">0 </v>
      </c>
    </row>
    <row r="112" spans="1:33" s="14" customFormat="1" ht="24.6" customHeight="1" x14ac:dyDescent="0.2">
      <c r="A112" s="5" t="s">
        <v>41</v>
      </c>
      <c r="B112" s="5" t="s">
        <v>42</v>
      </c>
      <c r="C112" s="6" t="s">
        <v>16</v>
      </c>
      <c r="D112" s="10">
        <v>44895</v>
      </c>
      <c r="E112" s="8" t="str">
        <f t="shared" ca="1" si="8"/>
        <v xml:space="preserve">0  m 16  D </v>
      </c>
      <c r="F112" s="8">
        <v>1478</v>
      </c>
      <c r="G112" s="8">
        <v>16740</v>
      </c>
      <c r="H112" s="11">
        <f>الجدول1[[#This Row],[O2]]/الجدول1[[#This Row],[N2]]</f>
        <v>8.8291517323775381E-2</v>
      </c>
      <c r="I112" s="8">
        <v>28</v>
      </c>
      <c r="J112" s="8">
        <v>907</v>
      </c>
      <c r="K112" s="8">
        <v>3</v>
      </c>
      <c r="L112" s="8">
        <v>8</v>
      </c>
      <c r="M112" s="12">
        <v>0</v>
      </c>
      <c r="N112" s="8">
        <v>7</v>
      </c>
      <c r="O112" s="8">
        <v>852</v>
      </c>
      <c r="P112" s="8" t="s">
        <v>25</v>
      </c>
      <c r="Q112" s="8">
        <v>2</v>
      </c>
      <c r="R112" s="8" t="s">
        <v>12</v>
      </c>
      <c r="S112" s="4" t="str">
        <f t="shared" si="9"/>
        <v>غير محدد</v>
      </c>
      <c r="T112" s="2" t="str" cm="1">
        <f t="array" ref="T112">IFERROR(MID(R112,MATCH(TRUE,ISNUMBER(1*MID(R112,ROW($1:$13),1)),0),COUNT(1*MID(R112,ROW($1:$13),1))),"غير محدد")</f>
        <v>غير محدد</v>
      </c>
      <c r="U112" s="13" t="s">
        <v>93</v>
      </c>
      <c r="V112" s="11">
        <f>الجدول1[[#This Row],[CO2]]/الجدول1[[#This Row],[CO]]</f>
        <v>1.0645539906103287</v>
      </c>
      <c r="W112" s="11">
        <f>الجدول1[[#This Row],[C2H2]]/الجدول1[[#This Row],[C2H4]]</f>
        <v>0</v>
      </c>
      <c r="X112" s="11">
        <f>الجدول1[[#This Row],[C2H4]]/الجدول1[[#This Row],[C2H6]]</f>
        <v>0.375</v>
      </c>
      <c r="Y112" s="17">
        <f>الجدول1[[#This Row],[CH4]]/الجدول1[[#This Row],[H2]]</f>
        <v>0.25</v>
      </c>
      <c r="Z112" s="3" t="str">
        <f t="shared" ca="1" si="10"/>
        <v xml:space="preserve">0 </v>
      </c>
    </row>
    <row r="113" spans="1:33" ht="24.6" customHeight="1" x14ac:dyDescent="0.2">
      <c r="A113" s="5" t="s">
        <v>41</v>
      </c>
      <c r="B113" s="5" t="s">
        <v>42</v>
      </c>
      <c r="C113" s="6" t="s">
        <v>16</v>
      </c>
      <c r="D113" s="10">
        <v>45119</v>
      </c>
      <c r="E113" s="8" t="str">
        <f t="shared" ref="E113:E120" ca="1" si="11">IFERROR(DATEDIF(D113,TODAY(),"YM") &amp; "  m " &amp; DATEDIF(D113,TODAY(),"MD") &amp; "  D "," ")</f>
        <v xml:space="preserve">5  m 4  D </v>
      </c>
      <c r="F113" s="8">
        <v>11553</v>
      </c>
      <c r="G113" s="8">
        <v>50607</v>
      </c>
      <c r="H113" s="11">
        <f>الجدول1[[#This Row],[O2]]/الجدول1[[#This Row],[N2]]</f>
        <v>0.22828857667911553</v>
      </c>
      <c r="I113" s="8">
        <v>13</v>
      </c>
      <c r="J113" s="8">
        <v>1367</v>
      </c>
      <c r="K113" s="8">
        <v>2</v>
      </c>
      <c r="L113" s="8">
        <v>2</v>
      </c>
      <c r="M113" s="12">
        <v>0</v>
      </c>
      <c r="N113" s="8">
        <v>2</v>
      </c>
      <c r="O113" s="8">
        <v>136</v>
      </c>
      <c r="P113" s="8" t="s">
        <v>10</v>
      </c>
      <c r="Q113" s="8" t="s">
        <v>113</v>
      </c>
      <c r="R113" s="8" t="s">
        <v>70</v>
      </c>
      <c r="S113" s="4" t="str">
        <f t="shared" si="9"/>
        <v>غير محدد</v>
      </c>
      <c r="T113" s="2" t="str" cm="1">
        <f t="array" ref="T113">IFERROR(MID(R113,MATCH(TRUE,ISNUMBER(1*MID(R113,ROW($1:$13),1)),0),COUNT(1*MID(R113,ROW($1:$13),1))),"غير محدد")</f>
        <v>غير محدد</v>
      </c>
      <c r="U113" s="13" t="s">
        <v>93</v>
      </c>
      <c r="V113" s="11">
        <f>الجدول1[[#This Row],[CO2]]/الجدول1[[#This Row],[CO]]</f>
        <v>10.051470588235293</v>
      </c>
      <c r="W113" s="11">
        <f>الجدول1[[#This Row],[C2H2]]/الجدول1[[#This Row],[C2H4]]</f>
        <v>0</v>
      </c>
      <c r="X113" s="11">
        <f>الجدول1[[#This Row],[C2H4]]/الجدول1[[#This Row],[C2H6]]</f>
        <v>1</v>
      </c>
      <c r="Y113" s="17">
        <f>الجدول1[[#This Row],[CH4]]/الجدول1[[#This Row],[H2]]</f>
        <v>0.15384615384615385</v>
      </c>
      <c r="Z113" s="3" t="str">
        <f t="shared" ca="1" si="10"/>
        <v xml:space="preserve">0 </v>
      </c>
      <c r="AA113" s="1"/>
      <c r="AB113" s="1"/>
      <c r="AC113" s="1"/>
      <c r="AD113" s="1"/>
      <c r="AE113" s="1"/>
      <c r="AF113" s="1"/>
      <c r="AG113" s="1"/>
    </row>
    <row r="114" spans="1:33" ht="24.6" customHeight="1" x14ac:dyDescent="0.2">
      <c r="A114" s="5" t="s">
        <v>41</v>
      </c>
      <c r="B114" s="5" t="s">
        <v>42</v>
      </c>
      <c r="C114" s="6" t="s">
        <v>16</v>
      </c>
      <c r="D114" s="10">
        <v>45875</v>
      </c>
      <c r="E114" s="8" t="str">
        <f t="shared" ca="1" si="11"/>
        <v xml:space="preserve">4  m 10  D </v>
      </c>
      <c r="F114" s="8">
        <v>17282</v>
      </c>
      <c r="G114" s="8">
        <v>103207</v>
      </c>
      <c r="H114" s="11">
        <f>الجدول1[[#This Row],[O2]]/الجدول1[[#This Row],[N2]]</f>
        <v>0.16744988227542706</v>
      </c>
      <c r="I114" s="8">
        <v>94</v>
      </c>
      <c r="J114" s="8">
        <v>3322</v>
      </c>
      <c r="K114" s="8">
        <v>41</v>
      </c>
      <c r="L114" s="8">
        <v>8</v>
      </c>
      <c r="M114" s="12">
        <v>0</v>
      </c>
      <c r="N114" s="8">
        <v>8</v>
      </c>
      <c r="O114" s="8">
        <v>277</v>
      </c>
      <c r="P114" s="8" t="s">
        <v>13</v>
      </c>
      <c r="Q114" s="8" t="s">
        <v>90</v>
      </c>
      <c r="R114" s="8" t="s">
        <v>153</v>
      </c>
      <c r="S114" s="4">
        <f t="shared" si="9"/>
        <v>45967</v>
      </c>
      <c r="T114" s="2" t="str" cm="1">
        <f t="array" ref="T114">IFERROR(MID(R114,MATCH(TRUE,ISNUMBER(1*MID(R114,ROW($1:$13),1)),0),COUNT(1*MID(R114,ROW($1:$13),1))),"غير محدد")</f>
        <v>3</v>
      </c>
      <c r="U114" s="16" t="s">
        <v>57</v>
      </c>
      <c r="V114" s="11">
        <f>الجدول1[[#This Row],[CO2]]/الجدول1[[#This Row],[CO]]</f>
        <v>11.992779783393502</v>
      </c>
      <c r="W114" s="11">
        <f>الجدول1[[#This Row],[C2H2]]/الجدول1[[#This Row],[C2H4]]</f>
        <v>0</v>
      </c>
      <c r="X114" s="11">
        <f>الجدول1[[#This Row],[C2H4]]/الجدول1[[#This Row],[C2H6]]</f>
        <v>5.125</v>
      </c>
      <c r="Y114" s="17">
        <f>الجدول1[[#This Row],[CH4]]/الجدول1[[#This Row],[H2]]</f>
        <v>8.5106382978723402E-2</v>
      </c>
      <c r="Z114" s="3" t="str">
        <f t="shared" ca="1" si="10"/>
        <v xml:space="preserve">10   </v>
      </c>
      <c r="AA114" s="1"/>
      <c r="AB114" s="1"/>
      <c r="AC114" s="1"/>
      <c r="AD114" s="1"/>
      <c r="AE114" s="1"/>
      <c r="AF114" s="1"/>
      <c r="AG114" s="1"/>
    </row>
    <row r="115" spans="1:33" ht="24.6" customHeight="1" x14ac:dyDescent="0.2">
      <c r="A115" s="5" t="s">
        <v>43</v>
      </c>
      <c r="B115" s="5" t="s">
        <v>15</v>
      </c>
      <c r="C115" s="6" t="s">
        <v>27</v>
      </c>
      <c r="D115" s="10">
        <v>45266</v>
      </c>
      <c r="E115" s="8" t="str">
        <f t="shared" ca="1" si="11"/>
        <v xml:space="preserve">0  m 10  D </v>
      </c>
      <c r="F115" s="8">
        <v>17970</v>
      </c>
      <c r="G115" s="8">
        <v>69109</v>
      </c>
      <c r="H115" s="11">
        <f>الجدول1[[#This Row],[O2]]/الجدول1[[#This Row],[N2]]</f>
        <v>0.26002402002633523</v>
      </c>
      <c r="I115" s="8">
        <v>18</v>
      </c>
      <c r="J115" s="8">
        <v>2871</v>
      </c>
      <c r="K115" s="8">
        <v>3</v>
      </c>
      <c r="L115" s="8">
        <v>4</v>
      </c>
      <c r="M115" s="12">
        <v>0</v>
      </c>
      <c r="N115" s="8">
        <v>3</v>
      </c>
      <c r="O115" s="8">
        <v>312</v>
      </c>
      <c r="P115" s="8" t="s">
        <v>10</v>
      </c>
      <c r="Q115" s="8" t="s">
        <v>96</v>
      </c>
      <c r="R115" s="8" t="s">
        <v>12</v>
      </c>
      <c r="S115" s="4" t="str">
        <f t="shared" si="9"/>
        <v>غير محدد</v>
      </c>
      <c r="T115" s="2" t="str" cm="1">
        <f t="array" ref="T115">IFERROR(MID(R115,MATCH(TRUE,ISNUMBER(1*MID(R115,ROW($1:$13),1)),0),COUNT(1*MID(R115,ROW($1:$13),1))),"غير محدد")</f>
        <v>غير محدد</v>
      </c>
      <c r="U115" s="16" t="s">
        <v>57</v>
      </c>
      <c r="V115" s="11">
        <f>الجدول1[[#This Row],[CO2]]/الجدول1[[#This Row],[CO]]</f>
        <v>9.2019230769230766</v>
      </c>
      <c r="W115" s="11">
        <f>الجدول1[[#This Row],[C2H2]]/الجدول1[[#This Row],[C2H4]]</f>
        <v>0</v>
      </c>
      <c r="X115" s="11">
        <f>الجدول1[[#This Row],[C2H4]]/الجدول1[[#This Row],[C2H6]]</f>
        <v>0.75</v>
      </c>
      <c r="Y115" s="17">
        <f>الجدول1[[#This Row],[CH4]]/الجدول1[[#This Row],[H2]]</f>
        <v>0.16666666666666666</v>
      </c>
      <c r="Z115" s="3" t="str">
        <f t="shared" ca="1" si="10"/>
        <v xml:space="preserve">0 </v>
      </c>
      <c r="AA115" s="1"/>
      <c r="AB115" s="1"/>
      <c r="AC115" s="1"/>
      <c r="AD115" s="1"/>
      <c r="AE115" s="1"/>
      <c r="AF115" s="1"/>
      <c r="AG115" s="1"/>
    </row>
    <row r="116" spans="1:33" ht="24.6" customHeight="1" x14ac:dyDescent="0.2">
      <c r="A116" s="5" t="s">
        <v>43</v>
      </c>
      <c r="B116" s="5" t="s">
        <v>24</v>
      </c>
      <c r="C116" s="6" t="s">
        <v>27</v>
      </c>
      <c r="D116" s="10">
        <v>45266</v>
      </c>
      <c r="E116" s="8" t="str">
        <f t="shared" ca="1" si="11"/>
        <v xml:space="preserve">0  m 10  D </v>
      </c>
      <c r="F116" s="8">
        <v>20480</v>
      </c>
      <c r="G116" s="8">
        <v>73626</v>
      </c>
      <c r="H116" s="11">
        <f>الجدول1[[#This Row],[O2]]/الجدول1[[#This Row],[N2]]</f>
        <v>0.27816260560128214</v>
      </c>
      <c r="I116" s="8">
        <v>27</v>
      </c>
      <c r="J116" s="8">
        <v>4008</v>
      </c>
      <c r="K116" s="8">
        <v>7</v>
      </c>
      <c r="L116" s="8">
        <v>2</v>
      </c>
      <c r="M116" s="12">
        <v>5</v>
      </c>
      <c r="N116" s="8">
        <v>1</v>
      </c>
      <c r="O116" s="8">
        <v>306</v>
      </c>
      <c r="P116" s="8" t="s">
        <v>10</v>
      </c>
      <c r="Q116" s="8" t="s">
        <v>96</v>
      </c>
      <c r="R116" s="8" t="s">
        <v>12</v>
      </c>
      <c r="S116" s="4" t="str">
        <f t="shared" si="9"/>
        <v>غير محدد</v>
      </c>
      <c r="T116" s="2" t="str" cm="1">
        <f t="array" ref="T116">IFERROR(MID(R116,MATCH(TRUE,ISNUMBER(1*MID(R116,ROW($1:$13),1)),0),COUNT(1*MID(R116,ROW($1:$13),1))),"غير محدد")</f>
        <v>غير محدد</v>
      </c>
      <c r="U116" s="16" t="s">
        <v>57</v>
      </c>
      <c r="V116" s="11">
        <f>الجدول1[[#This Row],[CO2]]/الجدول1[[#This Row],[CO]]</f>
        <v>13.098039215686274</v>
      </c>
      <c r="W116" s="11">
        <f>الجدول1[[#This Row],[C2H2]]/الجدول1[[#This Row],[C2H4]]</f>
        <v>0.7142857142857143</v>
      </c>
      <c r="X116" s="11">
        <f>الجدول1[[#This Row],[C2H4]]/الجدول1[[#This Row],[C2H6]]</f>
        <v>3.5</v>
      </c>
      <c r="Y116" s="17">
        <f>الجدول1[[#This Row],[CH4]]/الجدول1[[#This Row],[H2]]</f>
        <v>3.7037037037037035E-2</v>
      </c>
      <c r="Z116" s="3" t="str">
        <f t="shared" ca="1" si="10"/>
        <v xml:space="preserve">0 </v>
      </c>
      <c r="AA116" s="1"/>
      <c r="AB116" s="1"/>
      <c r="AC116" s="1"/>
      <c r="AD116" s="1"/>
      <c r="AE116" s="1"/>
      <c r="AF116" s="1"/>
      <c r="AG116" s="1"/>
    </row>
    <row r="117" spans="1:33" ht="24.6" customHeight="1" x14ac:dyDescent="0.2">
      <c r="A117" s="5" t="s">
        <v>43</v>
      </c>
      <c r="B117" s="5" t="s">
        <v>38</v>
      </c>
      <c r="C117" s="6" t="s">
        <v>27</v>
      </c>
      <c r="D117" s="10">
        <v>44901</v>
      </c>
      <c r="E117" s="8" t="str">
        <f t="shared" ca="1" si="11"/>
        <v xml:space="preserve">0  m 10  D </v>
      </c>
      <c r="F117" s="8">
        <v>2399</v>
      </c>
      <c r="G117" s="8">
        <v>65439</v>
      </c>
      <c r="H117" s="11">
        <f>الجدول1[[#This Row],[O2]]/الجدول1[[#This Row],[N2]]</f>
        <v>3.6660095661608522E-2</v>
      </c>
      <c r="I117" s="8">
        <v>21</v>
      </c>
      <c r="J117" s="8">
        <v>372</v>
      </c>
      <c r="K117" s="8">
        <v>2</v>
      </c>
      <c r="L117" s="8">
        <v>4</v>
      </c>
      <c r="M117" s="12">
        <v>0</v>
      </c>
      <c r="N117" s="8">
        <v>2</v>
      </c>
      <c r="O117" s="8">
        <v>220</v>
      </c>
      <c r="P117" s="8" t="s">
        <v>21</v>
      </c>
      <c r="Q117" s="8">
        <v>1</v>
      </c>
      <c r="R117" s="8" t="s">
        <v>40</v>
      </c>
      <c r="S117" s="4" t="str">
        <f t="shared" si="9"/>
        <v>غير محدد</v>
      </c>
      <c r="T117" s="2" t="str" cm="1">
        <f t="array" ref="T117">IFERROR(MID(R117,MATCH(TRUE,ISNUMBER(1*MID(R117,ROW($1:$13),1)),0),COUNT(1*MID(R117,ROW($1:$13),1))),"غير محدد")</f>
        <v>غير محدد</v>
      </c>
      <c r="U117" s="13" t="s">
        <v>93</v>
      </c>
      <c r="V117" s="11">
        <f>الجدول1[[#This Row],[CO2]]/الجدول1[[#This Row],[CO]]</f>
        <v>1.6909090909090909</v>
      </c>
      <c r="W117" s="11">
        <f>الجدول1[[#This Row],[C2H2]]/الجدول1[[#This Row],[C2H4]]</f>
        <v>0</v>
      </c>
      <c r="X117" s="11">
        <f>الجدول1[[#This Row],[C2H4]]/الجدول1[[#This Row],[C2H6]]</f>
        <v>0.5</v>
      </c>
      <c r="Y117" s="17">
        <f>الجدول1[[#This Row],[CH4]]/الجدول1[[#This Row],[H2]]</f>
        <v>9.5238095238095233E-2</v>
      </c>
      <c r="Z117" s="3" t="str">
        <f t="shared" ca="1" si="10"/>
        <v xml:space="preserve">0 </v>
      </c>
      <c r="AA117" s="1"/>
      <c r="AB117" s="1"/>
      <c r="AC117" s="1"/>
      <c r="AD117" s="1"/>
      <c r="AE117" s="1"/>
      <c r="AF117" s="1"/>
      <c r="AG117" s="1"/>
    </row>
    <row r="118" spans="1:33" ht="24.6" customHeight="1" x14ac:dyDescent="0.2">
      <c r="A118" s="5" t="s">
        <v>43</v>
      </c>
      <c r="B118" s="5" t="s">
        <v>38</v>
      </c>
      <c r="C118" s="6" t="s">
        <v>27</v>
      </c>
      <c r="D118" s="7">
        <v>44901</v>
      </c>
      <c r="E118" s="8" t="str">
        <f t="shared" ca="1" si="11"/>
        <v xml:space="preserve">0  m 10  D </v>
      </c>
      <c r="F118" s="8">
        <v>11843</v>
      </c>
      <c r="G118" s="8">
        <v>89604</v>
      </c>
      <c r="H118" s="11">
        <f>الجدول1[[#This Row],[O2]]/الجدول1[[#This Row],[N2]]</f>
        <v>0.13217043881969556</v>
      </c>
      <c r="I118" s="8">
        <v>59</v>
      </c>
      <c r="J118" s="8">
        <v>1431</v>
      </c>
      <c r="K118" s="8">
        <v>14</v>
      </c>
      <c r="L118" s="8">
        <v>19</v>
      </c>
      <c r="M118" s="12">
        <v>0</v>
      </c>
      <c r="N118" s="8">
        <v>6</v>
      </c>
      <c r="O118" s="8">
        <v>805</v>
      </c>
      <c r="P118" s="8" t="s">
        <v>13</v>
      </c>
      <c r="Q118" s="8">
        <v>2</v>
      </c>
      <c r="R118" s="8" t="s">
        <v>12</v>
      </c>
      <c r="S118" s="4" t="str">
        <f t="shared" si="9"/>
        <v>غير محدد</v>
      </c>
      <c r="T118" s="2" t="str" cm="1">
        <f t="array" ref="T118">IFERROR(MID(R118,MATCH(TRUE,ISNUMBER(1*MID(R118,ROW($1:$13),1)),0),COUNT(1*MID(R118,ROW($1:$13),1))),"غير محدد")</f>
        <v>غير محدد</v>
      </c>
      <c r="U118" s="13" t="s">
        <v>93</v>
      </c>
      <c r="V118" s="11">
        <f>الجدول1[[#This Row],[CO2]]/الجدول1[[#This Row],[CO]]</f>
        <v>1.7776397515527951</v>
      </c>
      <c r="W118" s="11">
        <f>الجدول1[[#This Row],[C2H2]]/الجدول1[[#This Row],[C2H4]]</f>
        <v>0</v>
      </c>
      <c r="X118" s="11">
        <f>الجدول1[[#This Row],[C2H4]]/الجدول1[[#This Row],[C2H6]]</f>
        <v>0.73684210526315785</v>
      </c>
      <c r="Y118" s="17">
        <f>الجدول1[[#This Row],[CH4]]/الجدول1[[#This Row],[H2]]</f>
        <v>0.10169491525423729</v>
      </c>
      <c r="Z118" s="3" t="str">
        <f t="shared" ca="1" si="10"/>
        <v xml:space="preserve">0 </v>
      </c>
      <c r="AA118" s="1"/>
      <c r="AB118" s="1"/>
      <c r="AC118" s="1"/>
      <c r="AD118" s="1"/>
      <c r="AE118" s="1"/>
      <c r="AF118" s="1"/>
      <c r="AG118" s="1"/>
    </row>
    <row r="119" spans="1:33" s="14" customFormat="1" ht="24.6" customHeight="1" x14ac:dyDescent="0.2">
      <c r="A119" s="5" t="s">
        <v>43</v>
      </c>
      <c r="B119" s="5" t="s">
        <v>38</v>
      </c>
      <c r="C119" s="6" t="s">
        <v>27</v>
      </c>
      <c r="D119" s="7">
        <v>45266</v>
      </c>
      <c r="E119" s="8" t="str">
        <f t="shared" ca="1" si="11"/>
        <v xml:space="preserve">0  m 10  D </v>
      </c>
      <c r="F119" s="8">
        <v>17537</v>
      </c>
      <c r="G119" s="8">
        <v>76500</v>
      </c>
      <c r="H119" s="11">
        <f>الجدول1[[#This Row],[O2]]/الجدول1[[#This Row],[N2]]</f>
        <v>0.22924183006535948</v>
      </c>
      <c r="I119" s="8">
        <v>56</v>
      </c>
      <c r="J119" s="8">
        <v>3020</v>
      </c>
      <c r="K119" s="8">
        <v>2</v>
      </c>
      <c r="L119" s="8">
        <v>3</v>
      </c>
      <c r="M119" s="12">
        <v>0</v>
      </c>
      <c r="N119" s="8">
        <v>1</v>
      </c>
      <c r="O119" s="8">
        <v>425</v>
      </c>
      <c r="P119" s="8" t="s">
        <v>10</v>
      </c>
      <c r="Q119" s="8" t="s">
        <v>96</v>
      </c>
      <c r="R119" s="8" t="s">
        <v>12</v>
      </c>
      <c r="S119" s="4" t="str">
        <f t="shared" si="9"/>
        <v>غير محدد</v>
      </c>
      <c r="T119" s="2" t="str" cm="1">
        <f t="array" ref="T119">IFERROR(MID(R119,MATCH(TRUE,ISNUMBER(1*MID(R119,ROW($1:$13),1)),0),COUNT(1*MID(R119,ROW($1:$13),1))),"غير محدد")</f>
        <v>غير محدد</v>
      </c>
      <c r="U119" s="16" t="s">
        <v>57</v>
      </c>
      <c r="V119" s="11">
        <f>الجدول1[[#This Row],[CO2]]/الجدول1[[#This Row],[CO]]</f>
        <v>7.1058823529411761</v>
      </c>
      <c r="W119" s="11">
        <f>الجدول1[[#This Row],[C2H2]]/الجدول1[[#This Row],[C2H4]]</f>
        <v>0</v>
      </c>
      <c r="X119" s="11">
        <f>الجدول1[[#This Row],[C2H4]]/الجدول1[[#This Row],[C2H6]]</f>
        <v>0.66666666666666663</v>
      </c>
      <c r="Y119" s="17">
        <f>الجدول1[[#This Row],[CH4]]/الجدول1[[#This Row],[H2]]</f>
        <v>1.7857142857142856E-2</v>
      </c>
      <c r="Z119" s="3" t="str">
        <f t="shared" ca="1" si="10"/>
        <v xml:space="preserve">0 </v>
      </c>
    </row>
    <row r="120" spans="1:33" s="14" customFormat="1" ht="24.6" customHeight="1" x14ac:dyDescent="0.2">
      <c r="A120" s="5" t="s">
        <v>43</v>
      </c>
      <c r="B120" s="5" t="s">
        <v>38</v>
      </c>
      <c r="C120" s="6" t="s">
        <v>27</v>
      </c>
      <c r="D120" s="7">
        <v>45587</v>
      </c>
      <c r="E120" s="8" t="str">
        <f t="shared" ca="1" si="11"/>
        <v xml:space="preserve">1  m 24  D </v>
      </c>
      <c r="F120" s="8">
        <v>3538</v>
      </c>
      <c r="G120" s="8">
        <v>81834</v>
      </c>
      <c r="H120" s="11">
        <f>الجدول1[[#This Row],[O2]]/الجدول1[[#This Row],[N2]]</f>
        <v>4.323386367524501E-2</v>
      </c>
      <c r="I120" s="8">
        <v>69</v>
      </c>
      <c r="J120" s="8">
        <v>3857</v>
      </c>
      <c r="K120" s="8">
        <v>2</v>
      </c>
      <c r="L120" s="8">
        <v>4</v>
      </c>
      <c r="M120" s="12">
        <v>0</v>
      </c>
      <c r="N120" s="8">
        <v>2</v>
      </c>
      <c r="O120" s="8">
        <v>348</v>
      </c>
      <c r="P120" s="8" t="s">
        <v>13</v>
      </c>
      <c r="Q120" s="8" t="s">
        <v>90</v>
      </c>
      <c r="R120" s="8" t="s">
        <v>153</v>
      </c>
      <c r="S120" s="4">
        <f t="shared" si="9"/>
        <v>45679</v>
      </c>
      <c r="T120" s="2" t="str" cm="1">
        <f t="array" ref="T120">IFERROR(MID(R120,MATCH(TRUE,ISNUMBER(1*MID(R120,ROW($1:$13),1)),0),COUNT(1*MID(R120,ROW($1:$13),1))),"غير محدد")</f>
        <v>3</v>
      </c>
      <c r="U120" s="16" t="s">
        <v>57</v>
      </c>
      <c r="V120" s="11">
        <f>الجدول1[[#This Row],[CO2]]/الجدول1[[#This Row],[CO]]</f>
        <v>11.083333333333334</v>
      </c>
      <c r="W120" s="11">
        <f>الجدول1[[#This Row],[C2H2]]/الجدول1[[#This Row],[C2H4]]</f>
        <v>0</v>
      </c>
      <c r="X120" s="11">
        <f>الجدول1[[#This Row],[C2H4]]/الجدول1[[#This Row],[C2H6]]</f>
        <v>0.5</v>
      </c>
      <c r="Y120" s="17">
        <f>الجدول1[[#This Row],[CH4]]/الجدول1[[#This Row],[H2]]</f>
        <v>2.8985507246376812E-2</v>
      </c>
      <c r="Z120" s="3" t="str">
        <f t="shared" ca="1" si="10"/>
        <v xml:space="preserve">24   </v>
      </c>
    </row>
    <row r="121" spans="1:33" s="14" customFormat="1" ht="24.6" customHeight="1" x14ac:dyDescent="0.2">
      <c r="A121" s="5" t="s">
        <v>65</v>
      </c>
      <c r="B121" s="5" t="s">
        <v>15</v>
      </c>
      <c r="C121" s="6" t="s">
        <v>66</v>
      </c>
      <c r="D121" s="10">
        <v>45266</v>
      </c>
      <c r="E121" s="8" t="s">
        <v>186</v>
      </c>
      <c r="F121" s="8">
        <v>25262</v>
      </c>
      <c r="G121" s="8">
        <v>90084</v>
      </c>
      <c r="H121" s="11">
        <f>الجدول1[[#This Row],[O2]]/الجدول1[[#This Row],[N2]]</f>
        <v>0.28042715687580483</v>
      </c>
      <c r="I121" s="8">
        <v>26</v>
      </c>
      <c r="J121" s="8">
        <v>5353</v>
      </c>
      <c r="K121" s="8">
        <v>2</v>
      </c>
      <c r="L121" s="8">
        <v>3</v>
      </c>
      <c r="M121" s="12">
        <v>0</v>
      </c>
      <c r="N121" s="8">
        <v>2</v>
      </c>
      <c r="O121" s="8">
        <v>407</v>
      </c>
      <c r="P121" s="8" t="s">
        <v>10</v>
      </c>
      <c r="Q121" s="8" t="s">
        <v>96</v>
      </c>
      <c r="R121" s="15" t="s">
        <v>12</v>
      </c>
      <c r="S121" s="4" t="str">
        <f t="shared" si="9"/>
        <v>غير محدد</v>
      </c>
      <c r="T121" s="2" t="str" cm="1">
        <f t="array" ref="T121">IFERROR(MID(R121,MATCH(TRUE,ISNUMBER(1*MID(R121,ROW($1:$13),1)),0),COUNT(1*MID(R121,ROW($1:$13),1))),"غير محدد")</f>
        <v>غير محدد</v>
      </c>
      <c r="U121" s="16" t="s">
        <v>57</v>
      </c>
      <c r="V121" s="11">
        <f>الجدول1[[#This Row],[CO2]]/الجدول1[[#This Row],[CO]]</f>
        <v>13.152334152334152</v>
      </c>
      <c r="W121" s="11">
        <f>الجدول1[[#This Row],[C2H2]]/الجدول1[[#This Row],[C2H4]]</f>
        <v>0</v>
      </c>
      <c r="X121" s="11">
        <f>الجدول1[[#This Row],[C2H4]]/الجدول1[[#This Row],[C2H6]]</f>
        <v>0.66666666666666663</v>
      </c>
      <c r="Y121" s="17">
        <f>الجدول1[[#This Row],[CH4]]/الجدول1[[#This Row],[H2]]</f>
        <v>7.6923076923076927E-2</v>
      </c>
      <c r="Z121" s="3" t="str">
        <f t="shared" ca="1" si="10"/>
        <v xml:space="preserve">0 </v>
      </c>
    </row>
    <row r="122" spans="1:33" s="14" customFormat="1" ht="24.6" customHeight="1" x14ac:dyDescent="0.2">
      <c r="A122" s="5" t="s">
        <v>65</v>
      </c>
      <c r="B122" s="5" t="s">
        <v>38</v>
      </c>
      <c r="C122" s="6" t="s">
        <v>66</v>
      </c>
      <c r="D122" s="10">
        <v>44941</v>
      </c>
      <c r="E122" s="8" t="str">
        <f t="shared" ref="E122:E138" ca="1" si="12">IFERROR(DATEDIF(D122,TODAY(),"YM") &amp; "  m " &amp; DATEDIF(D122,TODAY(),"MD") &amp; "  D "," ")</f>
        <v xml:space="preserve">11  m 1  D </v>
      </c>
      <c r="F122" s="8">
        <v>8371</v>
      </c>
      <c r="G122" s="8">
        <v>17053</v>
      </c>
      <c r="H122" s="11">
        <f>الجدول1[[#This Row],[O2]]/الجدول1[[#This Row],[N2]]</f>
        <v>0.49088136984694775</v>
      </c>
      <c r="I122" s="8">
        <v>25</v>
      </c>
      <c r="J122" s="8">
        <v>152</v>
      </c>
      <c r="K122" s="8">
        <v>2</v>
      </c>
      <c r="L122" s="8">
        <v>1</v>
      </c>
      <c r="M122" s="12">
        <v>0</v>
      </c>
      <c r="N122" s="8">
        <v>1</v>
      </c>
      <c r="O122" s="8">
        <v>28</v>
      </c>
      <c r="P122" s="8" t="s">
        <v>21</v>
      </c>
      <c r="Q122" s="8">
        <v>1</v>
      </c>
      <c r="R122" s="15" t="s">
        <v>22</v>
      </c>
      <c r="S122" s="4" t="str">
        <f t="shared" si="9"/>
        <v>غير محدد</v>
      </c>
      <c r="T122" s="2" t="str" cm="1">
        <f t="array" ref="T122">IFERROR(MID(R122,MATCH(TRUE,ISNUMBER(1*MID(R122,ROW($1:$13),1)),0),COUNT(1*MID(R122,ROW($1:$13),1))),"غير محدد")</f>
        <v>غير محدد</v>
      </c>
      <c r="U122" s="13" t="s">
        <v>93</v>
      </c>
      <c r="V122" s="11">
        <f>الجدول1[[#This Row],[CO2]]/الجدول1[[#This Row],[CO]]</f>
        <v>5.4285714285714288</v>
      </c>
      <c r="W122" s="11">
        <f>الجدول1[[#This Row],[C2H2]]/الجدول1[[#This Row],[C2H4]]</f>
        <v>0</v>
      </c>
      <c r="X122" s="11">
        <f>الجدول1[[#This Row],[C2H4]]/الجدول1[[#This Row],[C2H6]]</f>
        <v>2</v>
      </c>
      <c r="Y122" s="17">
        <f>الجدول1[[#This Row],[CH4]]/الجدول1[[#This Row],[H2]]</f>
        <v>0.04</v>
      </c>
      <c r="Z122" s="3" t="str">
        <f t="shared" ca="1" si="10"/>
        <v xml:space="preserve">0 </v>
      </c>
    </row>
    <row r="123" spans="1:33" s="14" customFormat="1" ht="24.6" customHeight="1" x14ac:dyDescent="0.2">
      <c r="A123" s="5" t="s">
        <v>65</v>
      </c>
      <c r="B123" s="5" t="s">
        <v>39</v>
      </c>
      <c r="C123" s="6" t="s">
        <v>66</v>
      </c>
      <c r="D123" s="10">
        <v>44941</v>
      </c>
      <c r="E123" s="8" t="str">
        <f t="shared" ca="1" si="12"/>
        <v xml:space="preserve">11  m 1  D </v>
      </c>
      <c r="F123" s="8">
        <v>6038</v>
      </c>
      <c r="G123" s="8">
        <v>28416</v>
      </c>
      <c r="H123" s="11">
        <f>الجدول1[[#This Row],[O2]]/الجدول1[[#This Row],[N2]]</f>
        <v>0.21248592342342343</v>
      </c>
      <c r="I123" s="8">
        <v>5</v>
      </c>
      <c r="J123" s="8">
        <v>1118</v>
      </c>
      <c r="K123" s="8">
        <v>2</v>
      </c>
      <c r="L123" s="8">
        <v>4</v>
      </c>
      <c r="M123" s="12">
        <v>0</v>
      </c>
      <c r="N123" s="8">
        <v>0</v>
      </c>
      <c r="O123" s="8">
        <v>46</v>
      </c>
      <c r="P123" s="8" t="s">
        <v>21</v>
      </c>
      <c r="Q123" s="8">
        <v>1</v>
      </c>
      <c r="R123" s="15" t="s">
        <v>22</v>
      </c>
      <c r="S123" s="4" t="str">
        <f t="shared" si="9"/>
        <v>غير محدد</v>
      </c>
      <c r="T123" s="2" t="str" cm="1">
        <f t="array" ref="T123">IFERROR(MID(R123,MATCH(TRUE,ISNUMBER(1*MID(R123,ROW($1:$13),1)),0),COUNT(1*MID(R123,ROW($1:$13),1))),"غير محدد")</f>
        <v>غير محدد</v>
      </c>
      <c r="U123" s="13" t="s">
        <v>93</v>
      </c>
      <c r="V123" s="11">
        <f>الجدول1[[#This Row],[CO2]]/الجدول1[[#This Row],[CO]]</f>
        <v>24.304347826086957</v>
      </c>
      <c r="W123" s="11">
        <f>الجدول1[[#This Row],[C2H2]]/الجدول1[[#This Row],[C2H4]]</f>
        <v>0</v>
      </c>
      <c r="X123" s="11">
        <f>الجدول1[[#This Row],[C2H4]]/الجدول1[[#This Row],[C2H6]]</f>
        <v>0.5</v>
      </c>
      <c r="Y123" s="17">
        <f>الجدول1[[#This Row],[CH4]]/الجدول1[[#This Row],[H2]]</f>
        <v>0</v>
      </c>
      <c r="Z123" s="3" t="str">
        <f t="shared" ca="1" si="10"/>
        <v xml:space="preserve">0 </v>
      </c>
    </row>
    <row r="124" spans="1:33" ht="24.6" customHeight="1" x14ac:dyDescent="0.2">
      <c r="A124" s="5" t="s">
        <v>196</v>
      </c>
      <c r="B124" s="5" t="s">
        <v>38</v>
      </c>
      <c r="C124" s="6" t="s">
        <v>27</v>
      </c>
      <c r="D124" s="10">
        <v>45726</v>
      </c>
      <c r="E124" s="8" t="str">
        <f t="shared" ca="1" si="12"/>
        <v xml:space="preserve">9  m 6  D </v>
      </c>
      <c r="F124" s="8">
        <v>17987</v>
      </c>
      <c r="G124" s="8">
        <v>53849</v>
      </c>
      <c r="H124" s="11">
        <f>الجدول1[[#This Row],[O2]]/الجدول1[[#This Row],[N2]]</f>
        <v>0.33402663002098459</v>
      </c>
      <c r="I124" s="8">
        <v>109</v>
      </c>
      <c r="J124" s="8">
        <v>1438</v>
      </c>
      <c r="K124" s="8">
        <v>1</v>
      </c>
      <c r="L124" s="8">
        <v>3</v>
      </c>
      <c r="M124" s="8">
        <v>0</v>
      </c>
      <c r="N124" s="8">
        <v>1</v>
      </c>
      <c r="O124" s="8">
        <v>70</v>
      </c>
      <c r="P124" s="15" t="s">
        <v>13</v>
      </c>
      <c r="Q124" s="8" t="s">
        <v>90</v>
      </c>
      <c r="R124" s="8" t="s">
        <v>151</v>
      </c>
      <c r="S124" s="21">
        <f t="shared" si="9"/>
        <v>45757</v>
      </c>
      <c r="T124" s="15" t="str" cm="1">
        <f t="array" ref="T124">IFERROR(MID(R124,MATCH(TRUE,ISNUMBER(1*MID(R124,ROW($1:$13),1)),0),COUNT(1*MID(R124,ROW($1:$13),1))),"غير محدد")</f>
        <v>1</v>
      </c>
      <c r="U124" s="13" t="s">
        <v>93</v>
      </c>
      <c r="V124" s="11">
        <f>الجدول1[[#This Row],[CO2]]/الجدول1[[#This Row],[CO]]</f>
        <v>20.542857142857144</v>
      </c>
      <c r="W124" s="11">
        <f>الجدول1[[#This Row],[C2H2]]/الجدول1[[#This Row],[C2H4]]</f>
        <v>0</v>
      </c>
      <c r="X124" s="11">
        <f>الجدول1[[#This Row],[C2H4]]/الجدول1[[#This Row],[C2H6]]</f>
        <v>0.33333333333333331</v>
      </c>
      <c r="Y124" s="17">
        <f>الجدول1[[#This Row],[CH4]]/الجدول1[[#This Row],[H2]]</f>
        <v>9.1743119266055051E-3</v>
      </c>
      <c r="Z124" s="3" t="str">
        <f t="shared" ca="1" si="10"/>
        <v xml:space="preserve">6   </v>
      </c>
      <c r="AA124" s="1"/>
      <c r="AB124" s="1"/>
      <c r="AC124" s="1"/>
      <c r="AD124" s="1"/>
      <c r="AE124" s="1"/>
      <c r="AF124" s="1"/>
      <c r="AG124" s="1"/>
    </row>
    <row r="125" spans="1:33" ht="24.6" customHeight="1" x14ac:dyDescent="0.2">
      <c r="A125" s="5" t="s">
        <v>196</v>
      </c>
      <c r="B125" s="5" t="s">
        <v>38</v>
      </c>
      <c r="C125" s="6" t="s">
        <v>27</v>
      </c>
      <c r="D125" s="10">
        <v>45797</v>
      </c>
      <c r="E125" s="8" t="str">
        <f t="shared" ca="1" si="12"/>
        <v xml:space="preserve">6  m 26  D </v>
      </c>
      <c r="F125" s="8">
        <v>10784</v>
      </c>
      <c r="G125" s="8">
        <v>68823</v>
      </c>
      <c r="H125" s="11">
        <f>الجدول1[[#This Row],[O2]]/الجدول1[[#This Row],[N2]]</f>
        <v>0.15669180361216453</v>
      </c>
      <c r="I125" s="8">
        <v>267</v>
      </c>
      <c r="J125" s="8">
        <v>1836</v>
      </c>
      <c r="K125" s="8">
        <v>1</v>
      </c>
      <c r="L125" s="8">
        <v>2</v>
      </c>
      <c r="M125" s="8">
        <v>0</v>
      </c>
      <c r="N125" s="8">
        <v>1</v>
      </c>
      <c r="O125" s="8">
        <v>211</v>
      </c>
      <c r="P125" s="15" t="s">
        <v>13</v>
      </c>
      <c r="Q125" s="8" t="s">
        <v>90</v>
      </c>
      <c r="R125" s="8" t="s">
        <v>151</v>
      </c>
      <c r="S125" s="21">
        <f t="shared" si="9"/>
        <v>45828</v>
      </c>
      <c r="T125" s="15" t="str" cm="1">
        <f t="array" ref="T125">IFERROR(MID(R125,MATCH(TRUE,ISNUMBER(1*MID(R125,ROW($1:$13),1)),0),COUNT(1*MID(R125,ROW($1:$13),1))),"غير محدد")</f>
        <v>1</v>
      </c>
      <c r="U125" s="13" t="s">
        <v>93</v>
      </c>
      <c r="V125" s="11">
        <f>الجدول1[[#This Row],[CO2]]/الجدول1[[#This Row],[CO]]</f>
        <v>8.7014218009478679</v>
      </c>
      <c r="W125" s="11">
        <f>الجدول1[[#This Row],[C2H2]]/الجدول1[[#This Row],[C2H4]]</f>
        <v>0</v>
      </c>
      <c r="X125" s="11">
        <f>الجدول1[[#This Row],[C2H4]]/الجدول1[[#This Row],[C2H6]]</f>
        <v>0.5</v>
      </c>
      <c r="Y125" s="17">
        <f>الجدول1[[#This Row],[CH4]]/الجدول1[[#This Row],[H2]]</f>
        <v>3.7453183520599251E-3</v>
      </c>
      <c r="Z125" s="3" t="str">
        <f t="shared" ca="1" si="10"/>
        <v xml:space="preserve">26   </v>
      </c>
      <c r="AA125" s="1"/>
      <c r="AB125" s="1"/>
      <c r="AC125" s="1"/>
      <c r="AD125" s="1"/>
      <c r="AE125" s="1"/>
      <c r="AF125" s="1"/>
      <c r="AG125" s="1"/>
    </row>
    <row r="126" spans="1:33" ht="24.6" customHeight="1" x14ac:dyDescent="0.2">
      <c r="A126" s="5" t="s">
        <v>196</v>
      </c>
      <c r="B126" s="5" t="s">
        <v>38</v>
      </c>
      <c r="C126" s="6" t="s">
        <v>27</v>
      </c>
      <c r="D126" s="10">
        <v>45890</v>
      </c>
      <c r="E126" s="8" t="str">
        <f t="shared" ca="1" si="12"/>
        <v xml:space="preserve">3  m 25  D </v>
      </c>
      <c r="F126" s="8">
        <v>30927</v>
      </c>
      <c r="G126" s="8">
        <v>108813</v>
      </c>
      <c r="H126" s="11">
        <f>الجدول1[[#This Row],[O2]]/الجدول1[[#This Row],[N2]]</f>
        <v>0.28422155440985913</v>
      </c>
      <c r="I126" s="8">
        <v>125</v>
      </c>
      <c r="J126" s="8">
        <v>3575</v>
      </c>
      <c r="K126" s="8">
        <v>1</v>
      </c>
      <c r="L126" s="8">
        <v>3</v>
      </c>
      <c r="M126" s="8">
        <v>0</v>
      </c>
      <c r="N126" s="8">
        <v>2</v>
      </c>
      <c r="O126" s="8">
        <v>194</v>
      </c>
      <c r="P126" s="15" t="s">
        <v>25</v>
      </c>
      <c r="Q126" s="8" t="s">
        <v>90</v>
      </c>
      <c r="R126" s="8" t="s">
        <v>151</v>
      </c>
      <c r="S126" s="21">
        <f t="shared" si="9"/>
        <v>45921</v>
      </c>
      <c r="T126" s="15" t="str" cm="1">
        <f t="array" ref="T126">IFERROR(MID(R126,MATCH(TRUE,ISNUMBER(1*MID(R126,ROW($1:$13),1)),0),COUNT(1*MID(R126,ROW($1:$13),1))),"غير محدد")</f>
        <v>1</v>
      </c>
      <c r="U126" s="8" t="s">
        <v>57</v>
      </c>
      <c r="V126" s="11">
        <f>الجدول1[[#This Row],[CO2]]/الجدول1[[#This Row],[CO]]</f>
        <v>18.427835051546392</v>
      </c>
      <c r="W126" s="11">
        <f>الجدول1[[#This Row],[C2H2]]/الجدول1[[#This Row],[C2H4]]</f>
        <v>0</v>
      </c>
      <c r="X126" s="11">
        <f>الجدول1[[#This Row],[C2H4]]/الجدول1[[#This Row],[C2H6]]</f>
        <v>0.33333333333333331</v>
      </c>
      <c r="Y126" s="17">
        <f>الجدول1[[#This Row],[CH4]]/الجدول1[[#This Row],[H2]]</f>
        <v>1.6E-2</v>
      </c>
      <c r="Z126" s="3" t="str">
        <f t="shared" ca="1" si="10"/>
        <v xml:space="preserve">25   </v>
      </c>
      <c r="AA126" s="1"/>
      <c r="AB126" s="1"/>
      <c r="AC126" s="1"/>
      <c r="AD126" s="1"/>
      <c r="AE126" s="1"/>
      <c r="AF126" s="1"/>
      <c r="AG126" s="1"/>
    </row>
    <row r="127" spans="1:33" ht="24.6" customHeight="1" x14ac:dyDescent="0.2">
      <c r="A127" s="5" t="s">
        <v>79</v>
      </c>
      <c r="B127" s="5" t="s">
        <v>24</v>
      </c>
      <c r="C127" s="6" t="s">
        <v>66</v>
      </c>
      <c r="D127" s="10">
        <v>45266</v>
      </c>
      <c r="E127" s="8" t="str">
        <f t="shared" ca="1" si="12"/>
        <v xml:space="preserve">0  m 10  D </v>
      </c>
      <c r="F127" s="8">
        <v>34196</v>
      </c>
      <c r="G127" s="8">
        <v>99133</v>
      </c>
      <c r="H127" s="11">
        <f>الجدول1[[#This Row],[O2]]/الجدول1[[#This Row],[N2]]</f>
        <v>0.34495072276638455</v>
      </c>
      <c r="I127" s="8">
        <v>28</v>
      </c>
      <c r="J127" s="8">
        <v>4951</v>
      </c>
      <c r="K127" s="8">
        <v>18</v>
      </c>
      <c r="L127" s="8">
        <v>4</v>
      </c>
      <c r="M127" s="12">
        <v>0</v>
      </c>
      <c r="N127" s="8">
        <v>1</v>
      </c>
      <c r="O127" s="8">
        <v>379</v>
      </c>
      <c r="P127" s="8" t="s">
        <v>10</v>
      </c>
      <c r="Q127" s="8">
        <v>2</v>
      </c>
      <c r="R127" s="15" t="s">
        <v>22</v>
      </c>
      <c r="S127" s="4" t="str">
        <f t="shared" si="9"/>
        <v>غير محدد</v>
      </c>
      <c r="T127" s="2" t="str" cm="1">
        <f t="array" ref="T127">IFERROR(MID(R127,MATCH(TRUE,ISNUMBER(1*MID(R127,ROW($1:$13),1)),0),COUNT(1*MID(R127,ROW($1:$13),1))),"غير محدد")</f>
        <v>غير محدد</v>
      </c>
      <c r="U127" s="13" t="s">
        <v>93</v>
      </c>
      <c r="V127" s="11">
        <f>الجدول1[[#This Row],[CO2]]/الجدول1[[#This Row],[CO]]</f>
        <v>13.063324538258575</v>
      </c>
      <c r="W127" s="11">
        <f>الجدول1[[#This Row],[C2H2]]/الجدول1[[#This Row],[C2H4]]</f>
        <v>0</v>
      </c>
      <c r="X127" s="11">
        <f>الجدول1[[#This Row],[C2H4]]/الجدول1[[#This Row],[C2H6]]</f>
        <v>4.5</v>
      </c>
      <c r="Y127" s="17">
        <f>الجدول1[[#This Row],[CH4]]/الجدول1[[#This Row],[H2]]</f>
        <v>3.5714285714285712E-2</v>
      </c>
      <c r="Z127" s="3" t="str">
        <f t="shared" ca="1" si="10"/>
        <v xml:space="preserve">0 </v>
      </c>
      <c r="AA127" s="1"/>
      <c r="AB127" s="1"/>
      <c r="AC127" s="1"/>
      <c r="AD127" s="1"/>
      <c r="AE127" s="1"/>
      <c r="AF127" s="1"/>
      <c r="AG127" s="1"/>
    </row>
    <row r="128" spans="1:33" ht="24.6" customHeight="1" x14ac:dyDescent="0.2">
      <c r="A128" s="5" t="s">
        <v>79</v>
      </c>
      <c r="B128" s="5" t="s">
        <v>38</v>
      </c>
      <c r="C128" s="6" t="s">
        <v>81</v>
      </c>
      <c r="D128" s="10">
        <v>45119</v>
      </c>
      <c r="E128" s="8" t="str">
        <f t="shared" ca="1" si="12"/>
        <v xml:space="preserve">5  m 4  D </v>
      </c>
      <c r="F128" s="8">
        <v>748</v>
      </c>
      <c r="G128" s="8">
        <v>95106</v>
      </c>
      <c r="H128" s="11">
        <f>الجدول1[[#This Row],[O2]]/الجدول1[[#This Row],[N2]]</f>
        <v>7.8649086282674072E-3</v>
      </c>
      <c r="I128" s="8">
        <v>166</v>
      </c>
      <c r="J128" s="8">
        <v>2912</v>
      </c>
      <c r="K128" s="8">
        <v>12</v>
      </c>
      <c r="L128" s="8">
        <v>11</v>
      </c>
      <c r="M128" s="12">
        <v>0</v>
      </c>
      <c r="N128" s="8">
        <v>23</v>
      </c>
      <c r="O128" s="8">
        <v>665</v>
      </c>
      <c r="P128" s="8" t="s">
        <v>21</v>
      </c>
      <c r="Q128" s="8" t="s">
        <v>96</v>
      </c>
      <c r="R128" s="15" t="s">
        <v>12</v>
      </c>
      <c r="S128" s="4" t="str">
        <f t="shared" si="9"/>
        <v>غير محدد</v>
      </c>
      <c r="T128" s="2" t="str" cm="1">
        <f t="array" ref="T128">IFERROR(MID(R128,MATCH(TRUE,ISNUMBER(1*MID(R128,ROW($1:$13),1)),0),COUNT(1*MID(R128,ROW($1:$13),1))),"غير محدد")</f>
        <v>غير محدد</v>
      </c>
      <c r="U128" s="13" t="s">
        <v>93</v>
      </c>
      <c r="V128" s="11">
        <f>الجدول1[[#This Row],[CO2]]/الجدول1[[#This Row],[CO]]</f>
        <v>4.3789473684210529</v>
      </c>
      <c r="W128" s="11">
        <f>الجدول1[[#This Row],[C2H2]]/الجدول1[[#This Row],[C2H4]]</f>
        <v>0</v>
      </c>
      <c r="X128" s="11">
        <f>الجدول1[[#This Row],[C2H4]]/الجدول1[[#This Row],[C2H6]]</f>
        <v>1.0909090909090908</v>
      </c>
      <c r="Y128" s="17">
        <f>الجدول1[[#This Row],[CH4]]/الجدول1[[#This Row],[H2]]</f>
        <v>0.13855421686746988</v>
      </c>
      <c r="Z128" s="3" t="str">
        <f t="shared" ca="1" si="10"/>
        <v xml:space="preserve">0 </v>
      </c>
      <c r="AA128" s="1"/>
      <c r="AB128" s="1"/>
      <c r="AC128" s="1"/>
      <c r="AD128" s="1"/>
      <c r="AE128" s="1"/>
      <c r="AF128" s="1"/>
      <c r="AG128" s="1"/>
    </row>
    <row r="129" spans="1:46" ht="24.6" customHeight="1" x14ac:dyDescent="0.2">
      <c r="A129" s="5" t="s">
        <v>79</v>
      </c>
      <c r="B129" s="5" t="s">
        <v>38</v>
      </c>
      <c r="C129" s="6" t="s">
        <v>81</v>
      </c>
      <c r="D129" s="7">
        <v>45266</v>
      </c>
      <c r="E129" s="8" t="str">
        <f t="shared" ca="1" si="12"/>
        <v xml:space="preserve">0  m 10  D </v>
      </c>
      <c r="F129" s="8">
        <v>10106</v>
      </c>
      <c r="G129" s="8">
        <v>107458</v>
      </c>
      <c r="H129" s="11">
        <f>الجدول1[[#This Row],[O2]]/الجدول1[[#This Row],[N2]]</f>
        <v>9.4046045897001621E-2</v>
      </c>
      <c r="I129" s="8">
        <v>88</v>
      </c>
      <c r="J129" s="8">
        <v>5023</v>
      </c>
      <c r="K129" s="8">
        <v>8</v>
      </c>
      <c r="L129" s="8">
        <v>7</v>
      </c>
      <c r="M129" s="12">
        <v>0</v>
      </c>
      <c r="N129" s="8">
        <v>1</v>
      </c>
      <c r="O129" s="8">
        <v>818</v>
      </c>
      <c r="P129" s="8" t="s">
        <v>13</v>
      </c>
      <c r="Q129" s="8" t="s">
        <v>90</v>
      </c>
      <c r="R129" s="15" t="s">
        <v>137</v>
      </c>
      <c r="S129" s="4" t="str">
        <f t="shared" si="9"/>
        <v>غير محدد</v>
      </c>
      <c r="T129" s="2" t="str" cm="1">
        <f t="array" ref="T129">IFERROR(MID(R129,MATCH(TRUE,ISNUMBER(1*MID(R129,ROW($1:$13),1)),0),COUNT(1*MID(R129,ROW($1:$13),1))),"غير محدد")</f>
        <v>غير محدد</v>
      </c>
      <c r="U129" s="13" t="s">
        <v>93</v>
      </c>
      <c r="V129" s="11">
        <f>الجدول1[[#This Row],[CO2]]/الجدول1[[#This Row],[CO]]</f>
        <v>6.1405867970660148</v>
      </c>
      <c r="W129" s="11">
        <f>الجدول1[[#This Row],[C2H2]]/الجدول1[[#This Row],[C2H4]]</f>
        <v>0</v>
      </c>
      <c r="X129" s="11">
        <f>الجدول1[[#This Row],[C2H4]]/الجدول1[[#This Row],[C2H6]]</f>
        <v>1.1428571428571428</v>
      </c>
      <c r="Y129" s="17">
        <f>الجدول1[[#This Row],[CH4]]/الجدول1[[#This Row],[H2]]</f>
        <v>1.1363636363636364E-2</v>
      </c>
      <c r="Z129" s="3" t="str">
        <f t="shared" ca="1" si="10"/>
        <v xml:space="preserve">0 </v>
      </c>
      <c r="AA129" s="1"/>
      <c r="AB129" s="1"/>
      <c r="AC129" s="1"/>
      <c r="AD129" s="1"/>
      <c r="AE129" s="1"/>
      <c r="AF129" s="1"/>
      <c r="AG129" s="1"/>
    </row>
    <row r="130" spans="1:46" ht="24.6" customHeight="1" x14ac:dyDescent="0.2">
      <c r="A130" s="5" t="s">
        <v>79</v>
      </c>
      <c r="B130" s="5" t="s">
        <v>38</v>
      </c>
      <c r="C130" s="6" t="s">
        <v>81</v>
      </c>
      <c r="D130" s="7">
        <v>45412</v>
      </c>
      <c r="E130" s="8" t="str">
        <f t="shared" ca="1" si="12"/>
        <v xml:space="preserve">7  m 16  D </v>
      </c>
      <c r="F130" s="8">
        <v>7274</v>
      </c>
      <c r="G130" s="8">
        <v>72801</v>
      </c>
      <c r="H130" s="11">
        <f>الجدول1[[#This Row],[O2]]/الجدول1[[#This Row],[N2]]</f>
        <v>9.9916209942171125E-2</v>
      </c>
      <c r="I130" s="8">
        <v>73</v>
      </c>
      <c r="J130" s="8">
        <v>3216</v>
      </c>
      <c r="K130" s="8">
        <v>4</v>
      </c>
      <c r="L130" s="8">
        <v>14</v>
      </c>
      <c r="M130" s="12">
        <v>0</v>
      </c>
      <c r="N130" s="8">
        <v>3</v>
      </c>
      <c r="O130" s="8">
        <v>408</v>
      </c>
      <c r="P130" s="8" t="s">
        <v>10</v>
      </c>
      <c r="Q130" s="8" t="s">
        <v>90</v>
      </c>
      <c r="R130" s="15" t="s">
        <v>150</v>
      </c>
      <c r="S130" s="4">
        <f t="shared" ref="S130:S138" si="13">IFERROR(IF(T130&gt;=1,EDATE(D130,T130),"غير محدد"),"غير محدد")</f>
        <v>45595</v>
      </c>
      <c r="T130" s="2" t="str" cm="1">
        <f t="array" ref="T130">IFERROR(MID(R130,MATCH(TRUE,ISNUMBER(1*MID(R130,ROW($1:$13),1)),0),COUNT(1*MID(R130,ROW($1:$13),1))),"غير محدد")</f>
        <v>6</v>
      </c>
      <c r="U130" s="8" t="s">
        <v>57</v>
      </c>
      <c r="V130" s="11">
        <f>الجدول1[[#This Row],[CO2]]/الجدول1[[#This Row],[CO]]</f>
        <v>7.882352941176471</v>
      </c>
      <c r="W130" s="11">
        <f>الجدول1[[#This Row],[C2H2]]/الجدول1[[#This Row],[C2H4]]</f>
        <v>0</v>
      </c>
      <c r="X130" s="11">
        <f>الجدول1[[#This Row],[C2H4]]/الجدول1[[#This Row],[C2H6]]</f>
        <v>0.2857142857142857</v>
      </c>
      <c r="Y130" s="17">
        <f>الجدول1[[#This Row],[CH4]]/الجدول1[[#This Row],[H2]]</f>
        <v>4.1095890410958902E-2</v>
      </c>
      <c r="Z130" s="3" t="str">
        <f t="shared" ref="Z130:Z138" ca="1" si="14">IFERROR(DATEDIF(S130,TODAY(),"MD") &amp; "   ","0 ")</f>
        <v xml:space="preserve">16   </v>
      </c>
      <c r="AA130" s="1"/>
      <c r="AB130" s="1"/>
      <c r="AC130" s="1"/>
      <c r="AD130" s="1"/>
      <c r="AE130" s="1"/>
      <c r="AF130" s="1"/>
      <c r="AG130" s="1"/>
    </row>
    <row r="131" spans="1:46" s="14" customFormat="1" ht="24.6" customHeight="1" x14ac:dyDescent="0.2">
      <c r="A131" s="5" t="s">
        <v>79</v>
      </c>
      <c r="B131" s="5" t="s">
        <v>39</v>
      </c>
      <c r="C131" s="6" t="s">
        <v>81</v>
      </c>
      <c r="D131" s="7">
        <v>45412</v>
      </c>
      <c r="E131" s="8" t="str">
        <f t="shared" ca="1" si="12"/>
        <v xml:space="preserve">7  m 16  D </v>
      </c>
      <c r="F131" s="8">
        <v>16470</v>
      </c>
      <c r="G131" s="8">
        <v>64914</v>
      </c>
      <c r="H131" s="11">
        <f>الجدول1[[#This Row],[O2]]/الجدول1[[#This Row],[N2]]</f>
        <v>0.25372030686754782</v>
      </c>
      <c r="I131" s="8">
        <v>54</v>
      </c>
      <c r="J131" s="8">
        <v>2305</v>
      </c>
      <c r="K131" s="8">
        <v>18</v>
      </c>
      <c r="L131" s="8">
        <v>20</v>
      </c>
      <c r="M131" s="12">
        <v>0</v>
      </c>
      <c r="N131" s="8">
        <v>3</v>
      </c>
      <c r="O131" s="8">
        <v>318</v>
      </c>
      <c r="P131" s="8" t="s">
        <v>10</v>
      </c>
      <c r="Q131" s="8" t="s">
        <v>90</v>
      </c>
      <c r="R131" s="15" t="s">
        <v>151</v>
      </c>
      <c r="S131" s="4">
        <f t="shared" si="13"/>
        <v>45442</v>
      </c>
      <c r="T131" s="2" t="str" cm="1">
        <f t="array" ref="T131">IFERROR(MID(R131,MATCH(TRUE,ISNUMBER(1*MID(R131,ROW($1:$13),1)),0),COUNT(1*MID(R131,ROW($1:$13),1))),"غير محدد")</f>
        <v>1</v>
      </c>
      <c r="U131" s="13" t="s">
        <v>93</v>
      </c>
      <c r="V131" s="11">
        <f>الجدول1[[#This Row],[CO2]]/الجدول1[[#This Row],[CO]]</f>
        <v>7.2484276729559749</v>
      </c>
      <c r="W131" s="11">
        <f>الجدول1[[#This Row],[C2H2]]/الجدول1[[#This Row],[C2H4]]</f>
        <v>0</v>
      </c>
      <c r="X131" s="11">
        <f>الجدول1[[#This Row],[C2H4]]/الجدول1[[#This Row],[C2H6]]</f>
        <v>0.9</v>
      </c>
      <c r="Y131" s="17">
        <f>الجدول1[[#This Row],[CH4]]/الجدول1[[#This Row],[H2]]</f>
        <v>5.5555555555555552E-2</v>
      </c>
      <c r="Z131" s="3" t="str">
        <f t="shared" ca="1" si="14"/>
        <v xml:space="preserve">16   </v>
      </c>
    </row>
    <row r="132" spans="1:46" s="14" customFormat="1" ht="24.6" customHeight="1" x14ac:dyDescent="0.2">
      <c r="A132" s="5" t="s">
        <v>79</v>
      </c>
      <c r="B132" s="5" t="s">
        <v>39</v>
      </c>
      <c r="C132" s="6" t="s">
        <v>81</v>
      </c>
      <c r="D132" s="7">
        <v>45480</v>
      </c>
      <c r="E132" s="8" t="str">
        <f t="shared" ca="1" si="12"/>
        <v xml:space="preserve">5  m 9  D </v>
      </c>
      <c r="F132" s="8">
        <v>2278</v>
      </c>
      <c r="G132" s="8">
        <v>79512</v>
      </c>
      <c r="H132" s="11">
        <f>الجدول1[[#This Row],[O2]]/الجدول1[[#This Row],[N2]]</f>
        <v>2.8649763557701984E-2</v>
      </c>
      <c r="I132" s="8">
        <v>85</v>
      </c>
      <c r="J132" s="8">
        <v>5650</v>
      </c>
      <c r="K132" s="8">
        <v>86</v>
      </c>
      <c r="L132" s="8">
        <v>16</v>
      </c>
      <c r="M132" s="12">
        <v>0</v>
      </c>
      <c r="N132" s="8">
        <v>1</v>
      </c>
      <c r="O132" s="8">
        <v>158</v>
      </c>
      <c r="P132" s="8" t="s">
        <v>10</v>
      </c>
      <c r="Q132" s="8" t="s">
        <v>90</v>
      </c>
      <c r="R132" s="15" t="s">
        <v>151</v>
      </c>
      <c r="S132" s="4">
        <f t="shared" si="13"/>
        <v>45511</v>
      </c>
      <c r="T132" s="2" t="str" cm="1">
        <f t="array" ref="T132">IFERROR(MID(R132,MATCH(TRUE,ISNUMBER(1*MID(R132,ROW($1:$13),1)),0),COUNT(1*MID(R132,ROW($1:$13),1))),"غير محدد")</f>
        <v>1</v>
      </c>
      <c r="U132" s="8" t="s">
        <v>57</v>
      </c>
      <c r="V132" s="11">
        <f>الجدول1[[#This Row],[CO2]]/الجدول1[[#This Row],[CO]]</f>
        <v>35.759493670886073</v>
      </c>
      <c r="W132" s="11">
        <f>الجدول1[[#This Row],[C2H2]]/الجدول1[[#This Row],[C2H4]]</f>
        <v>0</v>
      </c>
      <c r="X132" s="11">
        <f>الجدول1[[#This Row],[C2H4]]/الجدول1[[#This Row],[C2H6]]</f>
        <v>5.375</v>
      </c>
      <c r="Y132" s="17">
        <f>الجدول1[[#This Row],[CH4]]/الجدول1[[#This Row],[H2]]</f>
        <v>1.1764705882352941E-2</v>
      </c>
      <c r="Z132" s="3" t="str">
        <f t="shared" ca="1" si="14"/>
        <v xml:space="preserve">9   </v>
      </c>
    </row>
    <row r="133" spans="1:46" s="14" customFormat="1" ht="24.6" customHeight="1" x14ac:dyDescent="0.2">
      <c r="A133" s="5" t="s">
        <v>79</v>
      </c>
      <c r="B133" s="5" t="s">
        <v>80</v>
      </c>
      <c r="C133" s="6" t="s">
        <v>81</v>
      </c>
      <c r="D133" s="10">
        <v>45119</v>
      </c>
      <c r="E133" s="8" t="str">
        <f t="shared" ca="1" si="12"/>
        <v xml:space="preserve">5  m 4  D </v>
      </c>
      <c r="F133" s="8">
        <v>7279</v>
      </c>
      <c r="G133" s="8">
        <v>99630</v>
      </c>
      <c r="H133" s="11">
        <f>الجدول1[[#This Row],[O2]]/الجدول1[[#This Row],[N2]]</f>
        <v>7.3060323195824547E-2</v>
      </c>
      <c r="I133" s="8">
        <v>107</v>
      </c>
      <c r="J133" s="8">
        <v>4163</v>
      </c>
      <c r="K133" s="8">
        <v>3</v>
      </c>
      <c r="L133" s="8">
        <v>3</v>
      </c>
      <c r="M133" s="12">
        <v>0</v>
      </c>
      <c r="N133" s="8">
        <v>7</v>
      </c>
      <c r="O133" s="8">
        <v>424</v>
      </c>
      <c r="P133" s="8" t="s">
        <v>21</v>
      </c>
      <c r="Q133" s="8">
        <v>3</v>
      </c>
      <c r="R133" s="15" t="s">
        <v>22</v>
      </c>
      <c r="S133" s="4" t="str">
        <f t="shared" si="13"/>
        <v>غير محدد</v>
      </c>
      <c r="T133" s="2" t="str" cm="1">
        <f t="array" ref="T133">IFERROR(MID(R133,MATCH(TRUE,ISNUMBER(1*MID(R133,ROW($1:$13),1)),0),COUNT(1*MID(R133,ROW($1:$13),1))),"غير محدد")</f>
        <v>غير محدد</v>
      </c>
      <c r="U133" s="13" t="s">
        <v>93</v>
      </c>
      <c r="V133" s="11">
        <f>الجدول1[[#This Row],[CO2]]/الجدول1[[#This Row],[CO]]</f>
        <v>9.8183962264150946</v>
      </c>
      <c r="W133" s="11">
        <f>الجدول1[[#This Row],[C2H2]]/الجدول1[[#This Row],[C2H4]]</f>
        <v>0</v>
      </c>
      <c r="X133" s="11">
        <f>الجدول1[[#This Row],[C2H4]]/الجدول1[[#This Row],[C2H6]]</f>
        <v>1</v>
      </c>
      <c r="Y133" s="17">
        <f>الجدول1[[#This Row],[CH4]]/الجدول1[[#This Row],[H2]]</f>
        <v>6.5420560747663545E-2</v>
      </c>
      <c r="Z133" s="3" t="str">
        <f t="shared" ca="1" si="14"/>
        <v xml:space="preserve">0 </v>
      </c>
    </row>
    <row r="134" spans="1:46" s="14" customFormat="1" ht="24.6" customHeight="1" x14ac:dyDescent="0.2">
      <c r="A134" s="5" t="s">
        <v>79</v>
      </c>
      <c r="B134" s="5" t="s">
        <v>80</v>
      </c>
      <c r="C134" s="6" t="s">
        <v>81</v>
      </c>
      <c r="D134" s="10">
        <v>45266</v>
      </c>
      <c r="E134" s="8" t="str">
        <f t="shared" ca="1" si="12"/>
        <v xml:space="preserve">0  m 10  D </v>
      </c>
      <c r="F134" s="8">
        <v>24070</v>
      </c>
      <c r="G134" s="8">
        <v>95045</v>
      </c>
      <c r="H134" s="11">
        <f>الجدول1[[#This Row],[O2]]/الجدول1[[#This Row],[N2]]</f>
        <v>0.2532484612551949</v>
      </c>
      <c r="I134" s="8">
        <v>33</v>
      </c>
      <c r="J134" s="8">
        <v>1860</v>
      </c>
      <c r="K134" s="8">
        <v>5</v>
      </c>
      <c r="L134" s="8">
        <v>7</v>
      </c>
      <c r="M134" s="12">
        <v>0</v>
      </c>
      <c r="N134" s="8">
        <v>1</v>
      </c>
      <c r="O134" s="8">
        <v>202</v>
      </c>
      <c r="P134" s="8" t="s">
        <v>21</v>
      </c>
      <c r="Q134" s="8" t="s">
        <v>113</v>
      </c>
      <c r="R134" s="15" t="s">
        <v>70</v>
      </c>
      <c r="S134" s="4" t="str">
        <f t="shared" si="13"/>
        <v>غير محدد</v>
      </c>
      <c r="T134" s="2" t="str" cm="1">
        <f t="array" ref="T134">IFERROR(MID(R134,MATCH(TRUE,ISNUMBER(1*MID(R134,ROW($1:$13),1)),0),COUNT(1*MID(R134,ROW($1:$13),1))),"غير محدد")</f>
        <v>غير محدد</v>
      </c>
      <c r="U134" s="13" t="s">
        <v>93</v>
      </c>
      <c r="V134" s="11">
        <f>الجدول1[[#This Row],[CO2]]/الجدول1[[#This Row],[CO]]</f>
        <v>9.2079207920792072</v>
      </c>
      <c r="W134" s="11">
        <f>الجدول1[[#This Row],[C2H2]]/الجدول1[[#This Row],[C2H4]]</f>
        <v>0</v>
      </c>
      <c r="X134" s="11">
        <f>الجدول1[[#This Row],[C2H4]]/الجدول1[[#This Row],[C2H6]]</f>
        <v>0.7142857142857143</v>
      </c>
      <c r="Y134" s="17">
        <f>الجدول1[[#This Row],[CH4]]/الجدول1[[#This Row],[H2]]</f>
        <v>3.0303030303030304E-2</v>
      </c>
      <c r="Z134" s="3" t="str">
        <f t="shared" ca="1" si="14"/>
        <v xml:space="preserve">0 </v>
      </c>
    </row>
    <row r="135" spans="1:46" s="14" customFormat="1" ht="24.6" customHeight="1" x14ac:dyDescent="0.2">
      <c r="A135" s="5" t="s">
        <v>79</v>
      </c>
      <c r="B135" s="5" t="s">
        <v>18</v>
      </c>
      <c r="C135" s="6" t="s">
        <v>27</v>
      </c>
      <c r="D135" s="10">
        <v>45412</v>
      </c>
      <c r="E135" s="8" t="str">
        <f t="shared" ca="1" si="12"/>
        <v xml:space="preserve">7  m 16  D </v>
      </c>
      <c r="F135" s="8">
        <v>20322</v>
      </c>
      <c r="G135" s="8">
        <v>72333</v>
      </c>
      <c r="H135" s="11">
        <f>الجدول1[[#This Row],[O2]]/الجدول1[[#This Row],[N2]]</f>
        <v>0.28095060345900214</v>
      </c>
      <c r="I135" s="8">
        <v>15</v>
      </c>
      <c r="J135" s="8">
        <v>2549</v>
      </c>
      <c r="K135" s="8">
        <v>3</v>
      </c>
      <c r="L135" s="8">
        <v>5</v>
      </c>
      <c r="M135" s="12">
        <v>0</v>
      </c>
      <c r="N135" s="8">
        <v>2</v>
      </c>
      <c r="O135" s="8">
        <v>238</v>
      </c>
      <c r="P135" s="8" t="s">
        <v>10</v>
      </c>
      <c r="Q135" s="8" t="s">
        <v>90</v>
      </c>
      <c r="R135" s="15" t="s">
        <v>150</v>
      </c>
      <c r="S135" s="4">
        <f t="shared" si="13"/>
        <v>45595</v>
      </c>
      <c r="T135" s="2" t="str" cm="1">
        <f t="array" ref="T135">IFERROR(MID(R135,MATCH(TRUE,ISNUMBER(1*MID(R135,ROW($1:$13),1)),0),COUNT(1*MID(R135,ROW($1:$13),1))),"غير محدد")</f>
        <v>6</v>
      </c>
      <c r="U135" s="8" t="s">
        <v>57</v>
      </c>
      <c r="V135" s="11">
        <f>الجدول1[[#This Row],[CO2]]/الجدول1[[#This Row],[CO]]</f>
        <v>10.710084033613445</v>
      </c>
      <c r="W135" s="11">
        <f>الجدول1[[#This Row],[C2H2]]/الجدول1[[#This Row],[C2H4]]</f>
        <v>0</v>
      </c>
      <c r="X135" s="11">
        <f>الجدول1[[#This Row],[C2H4]]/الجدول1[[#This Row],[C2H6]]</f>
        <v>0.6</v>
      </c>
      <c r="Y135" s="17">
        <f>الجدول1[[#This Row],[CH4]]/الجدول1[[#This Row],[H2]]</f>
        <v>0.13333333333333333</v>
      </c>
      <c r="Z135" s="3" t="str">
        <f t="shared" ca="1" si="14"/>
        <v xml:space="preserve">16   </v>
      </c>
    </row>
    <row r="136" spans="1:46" s="14" customFormat="1" ht="24.6" customHeight="1" x14ac:dyDescent="0.2">
      <c r="A136" s="5" t="s">
        <v>79</v>
      </c>
      <c r="B136" s="5" t="s">
        <v>42</v>
      </c>
      <c r="C136" s="6" t="s">
        <v>27</v>
      </c>
      <c r="D136" s="10">
        <v>45412</v>
      </c>
      <c r="E136" s="8" t="str">
        <f t="shared" ca="1" si="12"/>
        <v xml:space="preserve">7  m 16  D </v>
      </c>
      <c r="F136" s="8">
        <v>17202</v>
      </c>
      <c r="G136" s="8">
        <v>69856</v>
      </c>
      <c r="H136" s="11">
        <f>الجدول1[[#This Row],[O2]]/الجدول1[[#This Row],[N2]]</f>
        <v>0.2462494273934952</v>
      </c>
      <c r="I136" s="8">
        <v>72</v>
      </c>
      <c r="J136" s="8">
        <v>2622</v>
      </c>
      <c r="K136" s="8">
        <v>1</v>
      </c>
      <c r="L136" s="8">
        <v>3</v>
      </c>
      <c r="M136" s="12">
        <v>0</v>
      </c>
      <c r="N136" s="8">
        <v>1</v>
      </c>
      <c r="O136" s="8">
        <v>250</v>
      </c>
      <c r="P136" s="8" t="s">
        <v>10</v>
      </c>
      <c r="Q136" s="8" t="s">
        <v>90</v>
      </c>
      <c r="R136" s="15" t="s">
        <v>151</v>
      </c>
      <c r="S136" s="4">
        <f t="shared" si="13"/>
        <v>45442</v>
      </c>
      <c r="T136" s="2" t="str" cm="1">
        <f t="array" ref="T136">IFERROR(MID(R136,MATCH(TRUE,ISNUMBER(1*MID(R136,ROW($1:$13),1)),0),COUNT(1*MID(R136,ROW($1:$13),1))),"غير محدد")</f>
        <v>1</v>
      </c>
      <c r="U136" s="13" t="s">
        <v>93</v>
      </c>
      <c r="V136" s="11">
        <f>الجدول1[[#This Row],[CO2]]/الجدول1[[#This Row],[CO]]</f>
        <v>10.488</v>
      </c>
      <c r="W136" s="11">
        <f>الجدول1[[#This Row],[C2H2]]/الجدول1[[#This Row],[C2H4]]</f>
        <v>0</v>
      </c>
      <c r="X136" s="11">
        <f>الجدول1[[#This Row],[C2H4]]/الجدول1[[#This Row],[C2H6]]</f>
        <v>0.33333333333333331</v>
      </c>
      <c r="Y136" s="17">
        <f>الجدول1[[#This Row],[CH4]]/الجدول1[[#This Row],[H2]]</f>
        <v>1.3888888888888888E-2</v>
      </c>
      <c r="Z136" s="3" t="str">
        <f t="shared" ca="1" si="14"/>
        <v xml:space="preserve">16   </v>
      </c>
    </row>
    <row r="137" spans="1:46" ht="24.6" customHeight="1" x14ac:dyDescent="0.2">
      <c r="A137" s="5" t="s">
        <v>79</v>
      </c>
      <c r="B137" s="5" t="s">
        <v>42</v>
      </c>
      <c r="C137" s="6" t="s">
        <v>27</v>
      </c>
      <c r="D137" s="10">
        <v>45480</v>
      </c>
      <c r="E137" s="8" t="str">
        <f t="shared" ca="1" si="12"/>
        <v xml:space="preserve">5  m 9  D </v>
      </c>
      <c r="F137" s="8">
        <v>10405</v>
      </c>
      <c r="G137" s="8">
        <v>84555</v>
      </c>
      <c r="H137" s="11">
        <f>الجدول1[[#This Row],[O2]]/الجدول1[[#This Row],[N2]]</f>
        <v>0.12305599905387027</v>
      </c>
      <c r="I137" s="8">
        <v>222</v>
      </c>
      <c r="J137" s="8">
        <v>4580</v>
      </c>
      <c r="K137" s="8">
        <v>5</v>
      </c>
      <c r="L137" s="8">
        <v>10</v>
      </c>
      <c r="M137" s="12">
        <v>0</v>
      </c>
      <c r="N137" s="8">
        <v>1</v>
      </c>
      <c r="O137" s="8">
        <v>155</v>
      </c>
      <c r="P137" s="8" t="s">
        <v>10</v>
      </c>
      <c r="Q137" s="8" t="s">
        <v>90</v>
      </c>
      <c r="R137" s="15" t="s">
        <v>151</v>
      </c>
      <c r="S137" s="4">
        <f t="shared" si="13"/>
        <v>45511</v>
      </c>
      <c r="T137" s="2" t="str" cm="1">
        <f t="array" ref="T137">IFERROR(MID(R137,MATCH(TRUE,ISNUMBER(1*MID(R137,ROW($1:$13),1)),0),COUNT(1*MID(R137,ROW($1:$13),1))),"غير محدد")</f>
        <v>1</v>
      </c>
      <c r="U137" s="13" t="s">
        <v>93</v>
      </c>
      <c r="V137" s="11">
        <f>الجدول1[[#This Row],[CO2]]/الجدول1[[#This Row],[CO]]</f>
        <v>29.548387096774192</v>
      </c>
      <c r="W137" s="11">
        <f>الجدول1[[#This Row],[C2H2]]/الجدول1[[#This Row],[C2H4]]</f>
        <v>0</v>
      </c>
      <c r="X137" s="11">
        <f>الجدول1[[#This Row],[C2H4]]/الجدول1[[#This Row],[C2H6]]</f>
        <v>0.5</v>
      </c>
      <c r="Y137" s="17">
        <f>الجدول1[[#This Row],[CH4]]/الجدول1[[#This Row],[H2]]</f>
        <v>4.5045045045045045E-3</v>
      </c>
      <c r="Z137" s="3" t="str">
        <f t="shared" ca="1" si="14"/>
        <v xml:space="preserve">9   </v>
      </c>
    </row>
    <row r="138" spans="1:46" ht="24.6" customHeight="1" x14ac:dyDescent="0.2">
      <c r="A138" s="5" t="s">
        <v>79</v>
      </c>
      <c r="B138" s="5" t="s">
        <v>42</v>
      </c>
      <c r="C138" s="6" t="s">
        <v>27</v>
      </c>
      <c r="D138" s="10">
        <v>45554</v>
      </c>
      <c r="E138" s="8" t="str">
        <f t="shared" ca="1" si="12"/>
        <v xml:space="preserve">2  m 27  D </v>
      </c>
      <c r="F138" s="8">
        <v>2783</v>
      </c>
      <c r="G138" s="8">
        <v>75484</v>
      </c>
      <c r="H138" s="11">
        <f>الجدول1[[#This Row],[O2]]/الجدول1[[#This Row],[N2]]</f>
        <v>3.6868740395315562E-2</v>
      </c>
      <c r="I138" s="8">
        <v>286</v>
      </c>
      <c r="J138" s="8">
        <v>1997</v>
      </c>
      <c r="K138" s="8">
        <v>1</v>
      </c>
      <c r="L138" s="8">
        <v>1</v>
      </c>
      <c r="M138" s="12">
        <v>0</v>
      </c>
      <c r="N138" s="8">
        <v>4</v>
      </c>
      <c r="O138" s="8">
        <v>297</v>
      </c>
      <c r="P138" s="8" t="s">
        <v>11</v>
      </c>
      <c r="Q138" s="8" t="s">
        <v>90</v>
      </c>
      <c r="R138" s="15" t="s">
        <v>151</v>
      </c>
      <c r="S138" s="4">
        <f t="shared" si="13"/>
        <v>45584</v>
      </c>
      <c r="T138" s="2" t="str" cm="1">
        <f t="array" ref="T138">IFERROR(MID(R138,MATCH(TRUE,ISNUMBER(1*MID(R138,ROW($1:$13),1)),0),COUNT(1*MID(R138,ROW($1:$13),1))),"غير محدد")</f>
        <v>1</v>
      </c>
      <c r="U138" s="8" t="s">
        <v>57</v>
      </c>
      <c r="V138" s="11">
        <f>الجدول1[[#This Row],[CO2]]/الجدول1[[#This Row],[CO]]</f>
        <v>6.7239057239057241</v>
      </c>
      <c r="W138" s="11">
        <f>الجدول1[[#This Row],[C2H2]]/الجدول1[[#This Row],[C2H4]]</f>
        <v>0</v>
      </c>
      <c r="X138" s="11">
        <f>الجدول1[[#This Row],[C2H4]]/الجدول1[[#This Row],[C2H6]]</f>
        <v>1</v>
      </c>
      <c r="Y138" s="17">
        <f>الجدول1[[#This Row],[CH4]]/الجدول1[[#This Row],[H2]]</f>
        <v>1.3986013986013986E-2</v>
      </c>
      <c r="Z138" s="3" t="str">
        <f t="shared" ca="1" si="14"/>
        <v xml:space="preserve">27   </v>
      </c>
      <c r="AA138" s="1"/>
      <c r="AM138" s="50" t="s">
        <v>158</v>
      </c>
      <c r="AN138" s="50"/>
      <c r="AO138" s="50"/>
      <c r="AP138" s="50"/>
      <c r="AQ138" s="50"/>
      <c r="AR138" s="50"/>
      <c r="AS138" s="50"/>
      <c r="AT138" s="50"/>
    </row>
    <row r="140" spans="1:46" ht="24.6" customHeight="1" x14ac:dyDescent="0.2">
      <c r="AA140" s="1"/>
      <c r="AM140" s="8" t="s">
        <v>1</v>
      </c>
      <c r="AN140" s="8" t="s">
        <v>4</v>
      </c>
      <c r="AO140" s="8" t="s">
        <v>5</v>
      </c>
      <c r="AP140" s="8" t="s">
        <v>6</v>
      </c>
      <c r="AQ140" s="9" t="s">
        <v>7</v>
      </c>
      <c r="AR140" s="8" t="s">
        <v>8</v>
      </c>
      <c r="AS140" s="8" t="s">
        <v>9</v>
      </c>
      <c r="AT140" s="8" t="s">
        <v>82</v>
      </c>
    </row>
    <row r="141" spans="1:46" ht="24.6" customHeight="1" x14ac:dyDescent="0.2">
      <c r="AA141" s="1"/>
      <c r="AM141" s="19">
        <v>80</v>
      </c>
      <c r="AN141" s="19">
        <v>9000</v>
      </c>
      <c r="AO141" s="19">
        <v>50</v>
      </c>
      <c r="AP141" s="19">
        <v>90</v>
      </c>
      <c r="AQ141" s="19">
        <v>1</v>
      </c>
      <c r="AR141" s="19">
        <v>90</v>
      </c>
      <c r="AS141" s="19">
        <v>900</v>
      </c>
      <c r="AT141" s="51" t="s">
        <v>156</v>
      </c>
    </row>
    <row r="142" spans="1:46" ht="24.6" customHeight="1" x14ac:dyDescent="0.2">
      <c r="AA142" s="1"/>
      <c r="AM142" s="19">
        <v>200</v>
      </c>
      <c r="AN142" s="19">
        <v>12500</v>
      </c>
      <c r="AO142" s="19">
        <v>100</v>
      </c>
      <c r="AP142" s="19">
        <v>175</v>
      </c>
      <c r="AQ142" s="19">
        <v>2</v>
      </c>
      <c r="AR142" s="19">
        <v>150</v>
      </c>
      <c r="AS142" s="19">
        <v>1100</v>
      </c>
      <c r="AT142" s="51"/>
    </row>
    <row r="143" spans="1:46" ht="24.6" customHeight="1" x14ac:dyDescent="0.2">
      <c r="AA143" s="1"/>
      <c r="AM143" s="20">
        <v>40</v>
      </c>
      <c r="AN143" s="20">
        <v>5000</v>
      </c>
      <c r="AO143" s="20">
        <v>50</v>
      </c>
      <c r="AP143" s="20">
        <v>15</v>
      </c>
      <c r="AQ143" s="20">
        <v>2</v>
      </c>
      <c r="AR143" s="20">
        <v>20</v>
      </c>
      <c r="AS143" s="20">
        <v>500</v>
      </c>
      <c r="AT143" s="52" t="s">
        <v>157</v>
      </c>
    </row>
    <row r="144" spans="1:46" ht="24.6" customHeight="1" x14ac:dyDescent="0.2">
      <c r="AA144" s="1"/>
      <c r="AM144" s="20">
        <v>90</v>
      </c>
      <c r="AN144" s="20">
        <v>7000</v>
      </c>
      <c r="AO144" s="20">
        <v>100</v>
      </c>
      <c r="AP144" s="20">
        <v>40</v>
      </c>
      <c r="AQ144" s="20">
        <v>7</v>
      </c>
      <c r="AR144" s="20">
        <v>50</v>
      </c>
      <c r="AS144" s="20">
        <v>600</v>
      </c>
      <c r="AT144" s="52"/>
    </row>
  </sheetData>
  <mergeCells count="3">
    <mergeCell ref="AM138:AT138"/>
    <mergeCell ref="AT141:AT142"/>
    <mergeCell ref="AT143:AT144"/>
  </mergeCells>
  <phoneticPr fontId="3" type="noConversion"/>
  <conditionalFormatting sqref="H2:H138">
    <cfRule type="cellIs" dxfId="38" priority="12" operator="lessThan">
      <formula>0.2</formula>
    </cfRule>
    <cfRule type="cellIs" dxfId="37" priority="26" operator="greaterThanOrEqual">
      <formula>0.2</formula>
    </cfRule>
  </conditionalFormatting>
  <conditionalFormatting sqref="I2:I138">
    <cfRule type="expression" dxfId="36" priority="70">
      <formula>IF($H2&lt;0.2,$I2&gt;80)</formula>
    </cfRule>
    <cfRule type="expression" dxfId="35" priority="71">
      <formula>IF($H2&gt;=0.2,$I2&gt;40)</formula>
    </cfRule>
  </conditionalFormatting>
  <conditionalFormatting sqref="J2:J138">
    <cfRule type="expression" dxfId="34" priority="72">
      <formula>IF($H2&gt;=0.2,$J2&gt;5000)</formula>
    </cfRule>
    <cfRule type="expression" dxfId="33" priority="73">
      <formula>IF($H2&lt;0.2,$J2&gt;5000)</formula>
    </cfRule>
  </conditionalFormatting>
  <conditionalFormatting sqref="K2:K138">
    <cfRule type="expression" dxfId="32" priority="74">
      <formula>IF($H2&gt;=0.2,$K2&gt;50)</formula>
    </cfRule>
    <cfRule type="expression" dxfId="31" priority="75">
      <formula>IF($H2&lt;0.2,$K2&gt;50)</formula>
    </cfRule>
  </conditionalFormatting>
  <conditionalFormatting sqref="L2:L138">
    <cfRule type="expression" dxfId="30" priority="76">
      <formula>IF($H2&gt;=0.2,$L2&gt;15)</formula>
    </cfRule>
    <cfRule type="expression" dxfId="29" priority="77">
      <formula>IF($H2&lt;0.2,$L2&gt;90)</formula>
    </cfRule>
  </conditionalFormatting>
  <conditionalFormatting sqref="M2:M138">
    <cfRule type="cellIs" dxfId="28" priority="13" operator="greaterThanOrEqual">
      <formula>1</formula>
    </cfRule>
  </conditionalFormatting>
  <conditionalFormatting sqref="N2:N138">
    <cfRule type="expression" dxfId="27" priority="78">
      <formula>IF($H2&gt;=0.2,$N2&gt;20)</formula>
    </cfRule>
    <cfRule type="expression" dxfId="26" priority="79">
      <formula>IF($H2&lt;0.2,$N2&gt;90)</formula>
    </cfRule>
  </conditionalFormatting>
  <conditionalFormatting sqref="O2:P138">
    <cfRule type="expression" dxfId="25" priority="80">
      <formula>IF($H2&gt;=0.2,$O2&gt;500)</formula>
    </cfRule>
    <cfRule type="expression" dxfId="24" priority="81">
      <formula>IF($H2&lt;0.2,$O2&gt;900)</formula>
    </cfRule>
  </conditionalFormatting>
  <conditionalFormatting sqref="P2:P138 R2:R138 T2:T138">
    <cfRule type="containsText" dxfId="23" priority="43" operator="containsText" text="F">
      <formula>NOT(ISERROR(SEARCH("F",P2)))</formula>
    </cfRule>
    <cfRule type="containsText" dxfId="22" priority="44" operator="containsText" text="R">
      <formula>NOT(ISERROR(SEARCH("R",P2)))</formula>
    </cfRule>
  </conditionalFormatting>
  <conditionalFormatting sqref="P2:P138 U2:Y138">
    <cfRule type="containsText" dxfId="21" priority="45" operator="containsText" text="يحتاج الى إعادة">
      <formula>NOT(ISERROR(SEARCH("يحتاج الى إعادة",P2)))</formula>
    </cfRule>
  </conditionalFormatting>
  <conditionalFormatting sqref="S2:S138">
    <cfRule type="expression" dxfId="20" priority="6">
      <formula>$Z2&gt;="1"</formula>
    </cfRule>
  </conditionalFormatting>
  <pageMargins left="0.23622047244094491" right="0.23622047244094491" top="0.74803149606299213" bottom="1.5354330708661419" header="0.31496062992125984" footer="0.31496062992125984"/>
  <pageSetup paperSize="9" scale="64" fitToHeight="0" orientation="landscape" r:id="rId1"/>
  <headerFooter>
    <oddFooter>&amp;C&amp;G</oddFoot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ورقة3">
    <pageSetUpPr fitToPage="1"/>
  </sheetPr>
  <dimension ref="A1:AC175"/>
  <sheetViews>
    <sheetView rightToLeft="1" view="pageBreakPreview" zoomScale="85" zoomScaleNormal="70" zoomScaleSheetLayoutView="85" workbookViewId="0">
      <pane xSplit="35" ySplit="1" topLeftCell="AJ116" activePane="bottomRight" state="frozen"/>
      <selection activeCell="A5" sqref="A5"/>
      <selection pane="topRight" activeCell="AA5" sqref="AA5"/>
      <selection pane="bottomLeft" activeCell="A6" sqref="A6"/>
      <selection pane="bottomRight" activeCell="T130" sqref="T130"/>
    </sheetView>
  </sheetViews>
  <sheetFormatPr defaultColWidth="9" defaultRowHeight="25.15" customHeight="1" x14ac:dyDescent="0.25"/>
  <cols>
    <col min="1" max="1" width="13.25" style="5" bestFit="1" customWidth="1"/>
    <col min="2" max="2" width="10.75" style="5" bestFit="1" customWidth="1"/>
    <col min="3" max="3" width="10.375" style="6" bestFit="1" customWidth="1"/>
    <col min="4" max="4" width="14.375" style="40" bestFit="1" customWidth="1"/>
    <col min="5" max="5" width="14.375" style="40" customWidth="1"/>
    <col min="6" max="6" width="13.375" style="5" bestFit="1" customWidth="1"/>
    <col min="7" max="7" width="8.375" style="5" bestFit="1" customWidth="1"/>
    <col min="8" max="8" width="8.5" style="5" bestFit="1" customWidth="1"/>
    <col min="9" max="9" width="11.625" style="5" bestFit="1" customWidth="1"/>
    <col min="10" max="10" width="8.25" style="5" bestFit="1" customWidth="1"/>
    <col min="11" max="11" width="9.5" style="5" bestFit="1" customWidth="1"/>
    <col min="12" max="12" width="10.5" style="5" bestFit="1" customWidth="1"/>
    <col min="13" max="13" width="8.75" style="5" customWidth="1"/>
    <col min="14" max="14" width="10.5" style="5" bestFit="1" customWidth="1"/>
    <col min="15" max="15" width="7" style="5" customWidth="1"/>
    <col min="16" max="16" width="8.5" style="5" bestFit="1" customWidth="1"/>
    <col min="17" max="17" width="12.75" style="5" customWidth="1"/>
    <col min="18" max="18" width="9.75" style="5" bestFit="1" customWidth="1"/>
    <col min="19" max="19" width="15.25" style="36" customWidth="1"/>
    <col min="20" max="20" width="17.375" style="36" customWidth="1"/>
    <col min="21" max="21" width="10.875" style="36" hidden="1" customWidth="1"/>
    <col min="22" max="22" width="12.25" style="36" bestFit="1" customWidth="1"/>
    <col min="23" max="23" width="10.625" style="36" hidden="1" customWidth="1"/>
    <col min="24" max="25" width="11.25" style="36" hidden="1" customWidth="1"/>
    <col min="26" max="26" width="9.375" style="36" hidden="1" customWidth="1"/>
    <col min="27" max="27" width="11.875" style="36" hidden="1" customWidth="1"/>
    <col min="28" max="28" width="9" style="36" customWidth="1"/>
    <col min="29" max="29" width="14.25" style="36" customWidth="1"/>
    <col min="30" max="30" width="9.375" style="5" customWidth="1"/>
    <col min="31" max="33" width="12" style="5" customWidth="1"/>
    <col min="34" max="34" width="12.5" style="5" customWidth="1"/>
    <col min="35" max="35" width="18" style="5" customWidth="1"/>
    <col min="36" max="16384" width="9" style="5"/>
  </cols>
  <sheetData>
    <row r="1" spans="1:29" ht="25.15" customHeight="1" x14ac:dyDescent="0.2">
      <c r="A1" s="5" t="s">
        <v>44</v>
      </c>
      <c r="B1" s="5" t="s">
        <v>45</v>
      </c>
      <c r="C1" s="6" t="s">
        <v>84</v>
      </c>
      <c r="D1" s="40" t="s">
        <v>46</v>
      </c>
      <c r="E1" s="40" t="s">
        <v>214</v>
      </c>
      <c r="F1" s="5" t="s">
        <v>83</v>
      </c>
      <c r="G1" s="5" t="s">
        <v>2</v>
      </c>
      <c r="H1" s="5" t="s">
        <v>3</v>
      </c>
      <c r="I1" s="5" t="s">
        <v>82</v>
      </c>
      <c r="J1" s="5" t="s">
        <v>1</v>
      </c>
      <c r="K1" s="5" t="s">
        <v>4</v>
      </c>
      <c r="L1" s="5" t="s">
        <v>5</v>
      </c>
      <c r="M1" s="5" t="s">
        <v>6</v>
      </c>
      <c r="N1" s="41" t="s">
        <v>7</v>
      </c>
      <c r="O1" s="5" t="s">
        <v>8</v>
      </c>
      <c r="P1" s="5" t="s">
        <v>9</v>
      </c>
      <c r="Q1" s="5" t="s">
        <v>118</v>
      </c>
      <c r="R1" s="5" t="s">
        <v>119</v>
      </c>
      <c r="S1" s="5" t="s">
        <v>120</v>
      </c>
      <c r="T1" s="5" t="s">
        <v>176</v>
      </c>
      <c r="U1" s="5" t="s">
        <v>177</v>
      </c>
      <c r="V1" s="5" t="s">
        <v>89</v>
      </c>
      <c r="W1" s="5" t="s">
        <v>88</v>
      </c>
      <c r="X1" s="5" t="s">
        <v>87</v>
      </c>
      <c r="Y1" s="5" t="s">
        <v>85</v>
      </c>
      <c r="Z1" s="5" t="s">
        <v>86</v>
      </c>
      <c r="AA1" s="1" t="s">
        <v>180</v>
      </c>
      <c r="AB1" s="5"/>
      <c r="AC1" s="5"/>
    </row>
    <row r="2" spans="1:29" ht="25.15" customHeight="1" x14ac:dyDescent="0.2">
      <c r="A2" s="5" t="s">
        <v>52</v>
      </c>
      <c r="B2" s="5" t="s">
        <v>15</v>
      </c>
      <c r="C2" s="6" t="s">
        <v>53</v>
      </c>
      <c r="D2" s="40">
        <v>44992</v>
      </c>
      <c r="F2" s="5" t="str">
        <f t="shared" ref="F2:F33" ca="1" si="0">IFERROR(DATEDIF(D2,TODAY(),"YM") &amp; "  m " &amp; DATEDIF(D2,TODAY(),"MD") &amp; "  D "," ")</f>
        <v xml:space="preserve">9  m 9  D </v>
      </c>
      <c r="G2" s="5">
        <v>11003</v>
      </c>
      <c r="H2" s="5">
        <v>76018</v>
      </c>
      <c r="I2" s="22">
        <f>الجدول3[[#This Row],[O2]]/الجدول3[[#This Row],[N2]]</f>
        <v>0.14474203478123601</v>
      </c>
      <c r="J2" s="5">
        <v>10</v>
      </c>
      <c r="K2" s="5">
        <v>8690</v>
      </c>
      <c r="L2" s="5">
        <v>93</v>
      </c>
      <c r="M2" s="5">
        <v>2</v>
      </c>
      <c r="N2" s="42">
        <v>0</v>
      </c>
      <c r="O2" s="5">
        <v>3</v>
      </c>
      <c r="P2" s="5">
        <v>706</v>
      </c>
      <c r="Q2" s="5" t="s">
        <v>13</v>
      </c>
      <c r="R2" s="5">
        <v>2</v>
      </c>
      <c r="S2" s="5" t="s">
        <v>12</v>
      </c>
      <c r="T2" s="43" t="str">
        <f t="shared" ref="T2:T33" si="1">IFERROR(IF(V2&gt;=1,EDATE(D2,U2),"غير محدد"),"غير محدد")</f>
        <v>غير محدد</v>
      </c>
      <c r="U2" s="5" t="str" cm="1">
        <f t="array" ref="U2">IFERROR(MID(S2,MATCH(TRUE,ISNUMBER(1*MID(S2,ROW($1:$10),1)),0),COUNT(1*MID(S2,ROW($1:$10),1))),"غير محدد")</f>
        <v>غير محدد</v>
      </c>
      <c r="V2" s="5" t="s">
        <v>93</v>
      </c>
      <c r="W2" s="26">
        <f>'اسيوط الوادي'!$K2/'اسيوط الوادي'!$P2</f>
        <v>12.308781869688385</v>
      </c>
      <c r="X2" s="22">
        <f t="shared" ref="X2:X33" si="2">N2/L2</f>
        <v>0</v>
      </c>
      <c r="Y2" s="22">
        <f t="shared" ref="Y2:Y33" si="3">L2/M2</f>
        <v>46.5</v>
      </c>
      <c r="Z2" s="26">
        <f t="shared" ref="Z2:Z33" si="4">O2/J2</f>
        <v>0.3</v>
      </c>
      <c r="AA2" s="22" t="str">
        <f t="shared" ref="AA2:AA33" ca="1" si="5">IFERROR(DATEDIF(T2,TODAY(),"MD") &amp; "   ","0 ")</f>
        <v xml:space="preserve">0 </v>
      </c>
      <c r="AB2" s="5"/>
      <c r="AC2" s="5"/>
    </row>
    <row r="3" spans="1:29" ht="25.15" customHeight="1" x14ac:dyDescent="0.2">
      <c r="A3" s="5" t="s">
        <v>52</v>
      </c>
      <c r="B3" s="5" t="s">
        <v>15</v>
      </c>
      <c r="C3" s="6" t="s">
        <v>53</v>
      </c>
      <c r="D3" s="40">
        <v>45137</v>
      </c>
      <c r="F3" s="5" t="str">
        <f t="shared" ca="1" si="0"/>
        <v xml:space="preserve">4  m 16  D </v>
      </c>
      <c r="G3" s="5">
        <v>16327</v>
      </c>
      <c r="H3" s="5">
        <v>66694</v>
      </c>
      <c r="I3" s="22">
        <f>الجدول3[[#This Row],[O2]]/الجدول3[[#This Row],[N2]]</f>
        <v>0.24480463010165832</v>
      </c>
      <c r="J3" s="5">
        <v>27</v>
      </c>
      <c r="K3" s="5">
        <v>1851</v>
      </c>
      <c r="L3" s="5">
        <v>34</v>
      </c>
      <c r="M3" s="5">
        <v>3</v>
      </c>
      <c r="N3" s="42">
        <v>0</v>
      </c>
      <c r="O3" s="5">
        <v>3</v>
      </c>
      <c r="P3" s="5">
        <v>495</v>
      </c>
      <c r="Q3" s="5" t="s">
        <v>13</v>
      </c>
      <c r="R3" s="5" t="s">
        <v>90</v>
      </c>
      <c r="S3" s="5" t="s">
        <v>91</v>
      </c>
      <c r="T3" s="43" t="str">
        <f t="shared" si="1"/>
        <v>غير محدد</v>
      </c>
      <c r="U3" s="5" t="str" cm="1">
        <f t="array" ref="U3">IFERROR(MID(S3,MATCH(TRUE,ISNUMBER(1*MID(S3,ROW($1:$10),1)),0),COUNT(1*MID(S3,ROW($1:$10),1))),"غير محدد")</f>
        <v>غير محدد</v>
      </c>
      <c r="V3" s="32" t="s">
        <v>93</v>
      </c>
      <c r="W3" s="26">
        <f>'اسيوط الوادي'!$K3/'اسيوط الوادي'!$P3</f>
        <v>3.7393939393939393</v>
      </c>
      <c r="X3" s="22">
        <f t="shared" si="2"/>
        <v>0</v>
      </c>
      <c r="Y3" s="22">
        <f t="shared" si="3"/>
        <v>11.333333333333334</v>
      </c>
      <c r="Z3" s="26">
        <f t="shared" si="4"/>
        <v>0.1111111111111111</v>
      </c>
      <c r="AA3" s="22" t="str">
        <f t="shared" ca="1" si="5"/>
        <v xml:space="preserve">0 </v>
      </c>
      <c r="AB3" s="5"/>
      <c r="AC3" s="5"/>
    </row>
    <row r="4" spans="1:29" ht="25.15" customHeight="1" x14ac:dyDescent="0.2">
      <c r="A4" s="5" t="s">
        <v>52</v>
      </c>
      <c r="B4" s="5" t="s">
        <v>15</v>
      </c>
      <c r="C4" s="6" t="s">
        <v>53</v>
      </c>
      <c r="D4" s="40">
        <v>45148</v>
      </c>
      <c r="F4" s="5" t="str">
        <f t="shared" ca="1" si="0"/>
        <v xml:space="preserve">4  m 6  D </v>
      </c>
      <c r="G4" s="5">
        <v>54846</v>
      </c>
      <c r="H4" s="5">
        <v>163580</v>
      </c>
      <c r="I4" s="22">
        <f>الجدول3[[#This Row],[O2]]/الجدول3[[#This Row],[N2]]</f>
        <v>0.33528548722337692</v>
      </c>
      <c r="J4" s="5">
        <v>8</v>
      </c>
      <c r="K4" s="5">
        <v>4515</v>
      </c>
      <c r="L4" s="5">
        <v>52</v>
      </c>
      <c r="M4" s="5">
        <v>2</v>
      </c>
      <c r="N4" s="42">
        <v>0</v>
      </c>
      <c r="O4" s="5">
        <v>4</v>
      </c>
      <c r="P4" s="5">
        <v>799</v>
      </c>
      <c r="Q4" s="5" t="s">
        <v>13</v>
      </c>
      <c r="R4" s="5" t="s">
        <v>90</v>
      </c>
      <c r="S4" s="5" t="s">
        <v>91</v>
      </c>
      <c r="T4" s="43" t="str">
        <f t="shared" si="1"/>
        <v>غير محدد</v>
      </c>
      <c r="U4" s="5" t="str" cm="1">
        <f t="array" ref="U4">IFERROR(MID(S4,MATCH(TRUE,ISNUMBER(1*MID(S4,ROW($1:$10),1)),0),COUNT(1*MID(S4,ROW($1:$10),1))),"غير محدد")</f>
        <v>غير محدد</v>
      </c>
      <c r="V4" s="32" t="s">
        <v>93</v>
      </c>
      <c r="W4" s="26">
        <f>'اسيوط الوادي'!$K4/'اسيوط الوادي'!$P4</f>
        <v>5.65081351689612</v>
      </c>
      <c r="X4" s="22">
        <f t="shared" si="2"/>
        <v>0</v>
      </c>
      <c r="Y4" s="22">
        <f t="shared" si="3"/>
        <v>26</v>
      </c>
      <c r="Z4" s="26">
        <f t="shared" si="4"/>
        <v>0.5</v>
      </c>
      <c r="AA4" s="22" t="str">
        <f t="shared" ca="1" si="5"/>
        <v xml:space="preserve">0 </v>
      </c>
      <c r="AB4" s="5"/>
      <c r="AC4" s="5"/>
    </row>
    <row r="5" spans="1:29" ht="25.15" customHeight="1" x14ac:dyDescent="0.2">
      <c r="A5" s="5" t="s">
        <v>52</v>
      </c>
      <c r="B5" s="5" t="s">
        <v>15</v>
      </c>
      <c r="C5" s="6" t="s">
        <v>53</v>
      </c>
      <c r="D5" s="40">
        <v>45301</v>
      </c>
      <c r="F5" s="5" t="str">
        <f t="shared" ca="1" si="0"/>
        <v xml:space="preserve">11  m 6  D </v>
      </c>
      <c r="G5" s="5">
        <v>22080</v>
      </c>
      <c r="H5" s="5">
        <v>62872</v>
      </c>
      <c r="I5" s="22">
        <f>الجدول3[[#This Row],[O2]]/الجدول3[[#This Row],[N2]]</f>
        <v>0.35118971879373967</v>
      </c>
      <c r="J5" s="5">
        <v>15</v>
      </c>
      <c r="K5" s="5">
        <v>1035</v>
      </c>
      <c r="L5" s="5">
        <v>8</v>
      </c>
      <c r="M5" s="5">
        <v>3</v>
      </c>
      <c r="N5" s="42">
        <v>0</v>
      </c>
      <c r="O5" s="5">
        <v>4</v>
      </c>
      <c r="P5" s="5">
        <v>141</v>
      </c>
      <c r="Q5" s="5" t="s">
        <v>21</v>
      </c>
      <c r="R5" s="5" t="s">
        <v>113</v>
      </c>
      <c r="S5" s="5" t="s">
        <v>70</v>
      </c>
      <c r="T5" s="43" t="str">
        <f t="shared" si="1"/>
        <v>غير محدد</v>
      </c>
      <c r="U5" s="5" t="str" cm="1">
        <f t="array" ref="U5">IFERROR(MID(S5,MATCH(TRUE,ISNUMBER(1*MID(S5,ROW($1:$10),1)),0),COUNT(1*MID(S5,ROW($1:$10),1))),"غير محدد")</f>
        <v>غير محدد</v>
      </c>
      <c r="V5" s="32" t="s">
        <v>93</v>
      </c>
      <c r="W5" s="26">
        <f>'اسيوط الوادي'!$K5/'اسيوط الوادي'!$P5</f>
        <v>7.3404255319148932</v>
      </c>
      <c r="X5" s="22">
        <f t="shared" si="2"/>
        <v>0</v>
      </c>
      <c r="Y5" s="22">
        <f t="shared" si="3"/>
        <v>2.6666666666666665</v>
      </c>
      <c r="Z5" s="26">
        <f t="shared" si="4"/>
        <v>0.26666666666666666</v>
      </c>
      <c r="AA5" s="22" t="str">
        <f t="shared" ca="1" si="5"/>
        <v xml:space="preserve">0 </v>
      </c>
      <c r="AB5" s="5"/>
      <c r="AC5" s="5"/>
    </row>
    <row r="6" spans="1:29" ht="25.15" customHeight="1" x14ac:dyDescent="0.2">
      <c r="A6" s="5" t="s">
        <v>92</v>
      </c>
      <c r="B6" s="5" t="s">
        <v>15</v>
      </c>
      <c r="C6" s="6" t="s">
        <v>27</v>
      </c>
      <c r="D6" s="40">
        <v>43935</v>
      </c>
      <c r="F6" s="5" t="str">
        <f t="shared" ca="1" si="0"/>
        <v xml:space="preserve">8  m 2  D </v>
      </c>
      <c r="G6" s="5">
        <v>4313</v>
      </c>
      <c r="H6" s="5">
        <v>69970</v>
      </c>
      <c r="I6" s="22">
        <f>الجدول3[[#This Row],[O2]]/الجدول3[[#This Row],[N2]]</f>
        <v>6.1640703158496499E-2</v>
      </c>
      <c r="J6" s="5">
        <v>9</v>
      </c>
      <c r="K6" s="5">
        <v>2811</v>
      </c>
      <c r="L6" s="5">
        <v>16</v>
      </c>
      <c r="M6" s="5">
        <v>9</v>
      </c>
      <c r="N6" s="42">
        <v>0</v>
      </c>
      <c r="O6" s="5">
        <v>1</v>
      </c>
      <c r="P6" s="5">
        <v>1153</v>
      </c>
      <c r="Q6" s="5" t="s">
        <v>13</v>
      </c>
      <c r="R6" s="5">
        <v>2</v>
      </c>
      <c r="S6" s="5" t="s">
        <v>22</v>
      </c>
      <c r="T6" s="43" t="str">
        <f t="shared" si="1"/>
        <v>غير محدد</v>
      </c>
      <c r="U6" s="5" t="str" cm="1">
        <f t="array" ref="U6">IFERROR(MID(S6,MATCH(TRUE,ISNUMBER(1*MID(S6,ROW($1:$10),1)),0),COUNT(1*MID(S6,ROW($1:$10),1))),"غير محدد")</f>
        <v>غير محدد</v>
      </c>
      <c r="V6" s="5" t="s">
        <v>93</v>
      </c>
      <c r="W6" s="26">
        <f>'اسيوط الوادي'!$K6/'اسيوط الوادي'!$P6</f>
        <v>2.437987857762359</v>
      </c>
      <c r="X6" s="22">
        <f t="shared" si="2"/>
        <v>0</v>
      </c>
      <c r="Y6" s="22">
        <f t="shared" si="3"/>
        <v>1.7777777777777777</v>
      </c>
      <c r="Z6" s="26">
        <f t="shared" si="4"/>
        <v>0.1111111111111111</v>
      </c>
      <c r="AA6" s="22" t="str">
        <f t="shared" ca="1" si="5"/>
        <v xml:space="preserve">0 </v>
      </c>
      <c r="AB6" s="5"/>
      <c r="AC6" s="5"/>
    </row>
    <row r="7" spans="1:29" ht="25.15" customHeight="1" x14ac:dyDescent="0.2">
      <c r="A7" s="5" t="s">
        <v>92</v>
      </c>
      <c r="B7" s="5" t="s">
        <v>24</v>
      </c>
      <c r="C7" s="6" t="s">
        <v>63</v>
      </c>
      <c r="D7" s="40">
        <v>45030</v>
      </c>
      <c r="F7" s="5" t="str">
        <f t="shared" ca="1" si="0"/>
        <v xml:space="preserve">8  m 2  D </v>
      </c>
      <c r="G7" s="5">
        <v>7381</v>
      </c>
      <c r="H7" s="5">
        <v>77496</v>
      </c>
      <c r="I7" s="22">
        <f>الجدول3[[#This Row],[O2]]/الجدول3[[#This Row],[N2]]</f>
        <v>9.5243625477443999E-2</v>
      </c>
      <c r="J7" s="5">
        <v>25</v>
      </c>
      <c r="K7" s="5">
        <v>3043</v>
      </c>
      <c r="L7" s="5">
        <v>3</v>
      </c>
      <c r="M7" s="5">
        <v>2</v>
      </c>
      <c r="N7" s="42">
        <v>0</v>
      </c>
      <c r="O7" s="5">
        <v>4</v>
      </c>
      <c r="P7" s="5">
        <v>1010</v>
      </c>
      <c r="Q7" s="5" t="s">
        <v>25</v>
      </c>
      <c r="R7" s="5">
        <v>2</v>
      </c>
      <c r="S7" s="5" t="s">
        <v>12</v>
      </c>
      <c r="T7" s="43" t="str">
        <f t="shared" si="1"/>
        <v>غير محدد</v>
      </c>
      <c r="U7" s="5" t="str" cm="1">
        <f t="array" ref="U7">IFERROR(MID(S7,MATCH(TRUE,ISNUMBER(1*MID(S7,ROW($1:$10),1)),0),COUNT(1*MID(S7,ROW($1:$10),1))),"غير محدد")</f>
        <v>غير محدد</v>
      </c>
      <c r="V7" s="5" t="s">
        <v>93</v>
      </c>
      <c r="W7" s="26">
        <f>'اسيوط الوادي'!$K7/'اسيوط الوادي'!$P7</f>
        <v>3.0128712871287129</v>
      </c>
      <c r="X7" s="22">
        <f t="shared" si="2"/>
        <v>0</v>
      </c>
      <c r="Y7" s="22">
        <f t="shared" si="3"/>
        <v>1.5</v>
      </c>
      <c r="Z7" s="26">
        <f t="shared" si="4"/>
        <v>0.16</v>
      </c>
      <c r="AA7" s="22" t="str">
        <f t="shared" ca="1" si="5"/>
        <v xml:space="preserve">0 </v>
      </c>
      <c r="AB7" s="5"/>
      <c r="AC7" s="5"/>
    </row>
    <row r="8" spans="1:29" ht="25.15" customHeight="1" x14ac:dyDescent="0.2">
      <c r="A8" s="5" t="s">
        <v>92</v>
      </c>
      <c r="B8" s="5" t="s">
        <v>24</v>
      </c>
      <c r="C8" s="6" t="s">
        <v>63</v>
      </c>
      <c r="D8" s="40">
        <v>45175</v>
      </c>
      <c r="F8" s="5" t="str">
        <f t="shared" ca="1" si="0"/>
        <v xml:space="preserve">3  m 10  D </v>
      </c>
      <c r="G8" s="5">
        <v>13805</v>
      </c>
      <c r="H8" s="5">
        <v>137237</v>
      </c>
      <c r="I8" s="22">
        <f>الجدول3[[#This Row],[O2]]/الجدول3[[#This Row],[N2]]</f>
        <v>0.10059240583807574</v>
      </c>
      <c r="J8" s="5">
        <v>37</v>
      </c>
      <c r="K8" s="5">
        <v>4119</v>
      </c>
      <c r="L8" s="5">
        <v>12</v>
      </c>
      <c r="M8" s="5">
        <v>4</v>
      </c>
      <c r="N8" s="42">
        <v>0</v>
      </c>
      <c r="O8" s="5">
        <v>4</v>
      </c>
      <c r="P8" s="5">
        <v>1096</v>
      </c>
      <c r="Q8" s="5" t="s">
        <v>10</v>
      </c>
      <c r="R8" s="5" t="s">
        <v>96</v>
      </c>
      <c r="S8" s="5" t="s">
        <v>12</v>
      </c>
      <c r="T8" s="43" t="str">
        <f t="shared" si="1"/>
        <v>غير محدد</v>
      </c>
      <c r="U8" s="5" t="str" cm="1">
        <f t="array" ref="U8">IFERROR(MID(S8,MATCH(TRUE,ISNUMBER(1*MID(S8,ROW($1:$10),1)),0),COUNT(1*MID(S8,ROW($1:$10),1))),"غير محدد")</f>
        <v>غير محدد</v>
      </c>
      <c r="V8" s="5" t="s">
        <v>93</v>
      </c>
      <c r="W8" s="26">
        <f>'اسيوط الوادي'!$K8/'اسيوط الوادي'!$P8</f>
        <v>3.7582116788321169</v>
      </c>
      <c r="X8" s="22">
        <f t="shared" si="2"/>
        <v>0</v>
      </c>
      <c r="Y8" s="22">
        <f t="shared" si="3"/>
        <v>3</v>
      </c>
      <c r="Z8" s="26">
        <f t="shared" si="4"/>
        <v>0.10810810810810811</v>
      </c>
      <c r="AA8" s="22" t="str">
        <f t="shared" ca="1" si="5"/>
        <v xml:space="preserve">0 </v>
      </c>
      <c r="AB8" s="5"/>
      <c r="AC8" s="5"/>
    </row>
    <row r="9" spans="1:29" ht="25.15" customHeight="1" x14ac:dyDescent="0.2">
      <c r="A9" s="5" t="s">
        <v>92</v>
      </c>
      <c r="B9" s="5" t="s">
        <v>24</v>
      </c>
      <c r="C9" s="6" t="s">
        <v>63</v>
      </c>
      <c r="D9" s="40">
        <v>45795</v>
      </c>
      <c r="F9" s="5" t="str">
        <f t="shared" ca="1" si="0"/>
        <v xml:space="preserve">6  m 28  D </v>
      </c>
      <c r="G9" s="5">
        <v>22879</v>
      </c>
      <c r="H9" s="5">
        <v>81988</v>
      </c>
      <c r="I9" s="22">
        <f>الجدول3[[#This Row],[O2]]/الجدول3[[#This Row],[N2]]</f>
        <v>0.27905303215104649</v>
      </c>
      <c r="J9" s="5">
        <v>43</v>
      </c>
      <c r="K9" s="5">
        <v>3349</v>
      </c>
      <c r="L9" s="5">
        <v>4</v>
      </c>
      <c r="M9" s="5">
        <v>4</v>
      </c>
      <c r="N9" s="42">
        <v>0</v>
      </c>
      <c r="O9" s="5">
        <v>4</v>
      </c>
      <c r="P9" s="5">
        <v>474</v>
      </c>
      <c r="Q9" s="5" t="s">
        <v>25</v>
      </c>
      <c r="R9" s="5" t="s">
        <v>90</v>
      </c>
      <c r="S9" s="5" t="s">
        <v>150</v>
      </c>
      <c r="T9" s="43">
        <f t="shared" si="1"/>
        <v>45979</v>
      </c>
      <c r="U9" s="5" t="str" cm="1">
        <f t="array" ref="U9">IFERROR(MID(S9,MATCH(TRUE,ISNUMBER(1*MID(S9,ROW($1:$10),1)),0),COUNT(1*MID(S9,ROW($1:$10),1))),"غير محدد")</f>
        <v>6</v>
      </c>
      <c r="V9" s="32" t="s">
        <v>57</v>
      </c>
      <c r="W9" s="26">
        <f>'اسيوط الوادي'!$K9/'اسيوط الوادي'!$P9</f>
        <v>7.0654008438818563</v>
      </c>
      <c r="X9" s="22">
        <f t="shared" si="2"/>
        <v>0</v>
      </c>
      <c r="Y9" s="22">
        <f t="shared" si="3"/>
        <v>1</v>
      </c>
      <c r="Z9" s="26">
        <f t="shared" si="4"/>
        <v>9.3023255813953487E-2</v>
      </c>
      <c r="AA9" s="22" t="str">
        <f t="shared" ca="1" si="5"/>
        <v xml:space="preserve">28   </v>
      </c>
      <c r="AB9" s="5"/>
      <c r="AC9" s="5"/>
    </row>
    <row r="10" spans="1:29" ht="25.15" customHeight="1" x14ac:dyDescent="0.2">
      <c r="A10" s="5" t="s">
        <v>187</v>
      </c>
      <c r="B10" s="5" t="s">
        <v>15</v>
      </c>
      <c r="C10" s="6" t="s">
        <v>27</v>
      </c>
      <c r="D10" s="40">
        <v>45480</v>
      </c>
      <c r="F10" s="5" t="str">
        <f t="shared" ca="1" si="0"/>
        <v xml:space="preserve">5  m 9  D </v>
      </c>
      <c r="G10" s="5">
        <v>16420</v>
      </c>
      <c r="H10" s="5">
        <v>71268</v>
      </c>
      <c r="I10" s="22">
        <f>الجدول3[[#This Row],[O2]]/الجدول3[[#This Row],[N2]]</f>
        <v>0.23039793455688387</v>
      </c>
      <c r="J10" s="5">
        <v>51</v>
      </c>
      <c r="K10" s="5">
        <v>4362</v>
      </c>
      <c r="L10" s="5">
        <v>17</v>
      </c>
      <c r="M10" s="5">
        <v>11</v>
      </c>
      <c r="N10" s="42">
        <v>0</v>
      </c>
      <c r="O10" s="5">
        <v>1</v>
      </c>
      <c r="P10" s="5">
        <v>158</v>
      </c>
      <c r="Q10" s="5" t="s">
        <v>10</v>
      </c>
      <c r="R10" s="5" t="s">
        <v>90</v>
      </c>
      <c r="S10" s="5" t="s">
        <v>151</v>
      </c>
      <c r="T10" s="43">
        <f t="shared" si="1"/>
        <v>45511</v>
      </c>
      <c r="U10" s="5" t="str" cm="1">
        <f t="array" ref="U10">IFERROR(MID(S10,MATCH(TRUE,ISNUMBER(1*MID(S10,ROW($1:$10),1)),0),COUNT(1*MID(S10,ROW($1:$10),1))),"غير محدد")</f>
        <v>1</v>
      </c>
      <c r="V10" s="32" t="s">
        <v>57</v>
      </c>
      <c r="W10" s="26">
        <f>'اسيوط الوادي'!$K115/'اسيوط الوادي'!$P115</f>
        <v>2.9220272904483431</v>
      </c>
      <c r="X10" s="22">
        <f t="shared" si="2"/>
        <v>0</v>
      </c>
      <c r="Y10" s="22">
        <f t="shared" si="3"/>
        <v>1.5454545454545454</v>
      </c>
      <c r="Z10" s="26">
        <f t="shared" si="4"/>
        <v>1.9607843137254902E-2</v>
      </c>
      <c r="AA10" s="22" t="str">
        <f t="shared" ca="1" si="5"/>
        <v xml:space="preserve">9   </v>
      </c>
      <c r="AB10" s="5"/>
      <c r="AC10" s="5"/>
    </row>
    <row r="11" spans="1:29" ht="25.15" customHeight="1" x14ac:dyDescent="0.2">
      <c r="A11" s="5" t="s">
        <v>188</v>
      </c>
      <c r="B11" s="5" t="s">
        <v>29</v>
      </c>
      <c r="C11" s="6" t="s">
        <v>19</v>
      </c>
      <c r="D11" s="40">
        <v>45448</v>
      </c>
      <c r="F11" s="5" t="str">
        <f t="shared" ca="1" si="0"/>
        <v xml:space="preserve">6  m 11  D </v>
      </c>
      <c r="G11" s="5">
        <v>703</v>
      </c>
      <c r="H11" s="5">
        <v>88386</v>
      </c>
      <c r="I11" s="22">
        <f>الجدول3[[#This Row],[O2]]/الجدول3[[#This Row],[N2]]</f>
        <v>7.9537483311836708E-3</v>
      </c>
      <c r="J11" s="5">
        <v>27</v>
      </c>
      <c r="K11" s="5">
        <v>1308</v>
      </c>
      <c r="L11" s="5">
        <v>3</v>
      </c>
      <c r="M11" s="5">
        <v>242</v>
      </c>
      <c r="N11" s="42">
        <v>0</v>
      </c>
      <c r="O11" s="5">
        <v>77</v>
      </c>
      <c r="P11" s="5">
        <v>239</v>
      </c>
      <c r="Q11" s="5" t="s">
        <v>11</v>
      </c>
      <c r="R11" s="5" t="s">
        <v>90</v>
      </c>
      <c r="S11" s="5" t="s">
        <v>153</v>
      </c>
      <c r="T11" s="43">
        <f t="shared" si="1"/>
        <v>45540</v>
      </c>
      <c r="U11" s="5" t="str" cm="1">
        <f t="array" ref="U11">IFERROR(MID(S11,MATCH(TRUE,ISNUMBER(1*MID(S11,ROW($1:$10),1)),0),COUNT(1*MID(S11,ROW($1:$10),1))),"غير محدد")</f>
        <v>3</v>
      </c>
      <c r="V11" s="32" t="s">
        <v>93</v>
      </c>
      <c r="W11" s="26">
        <f>'اسيوط الوادي'!$K116/'اسيوط الوادي'!$P116</f>
        <v>3.1101646791595683</v>
      </c>
      <c r="X11" s="22">
        <f t="shared" si="2"/>
        <v>0</v>
      </c>
      <c r="Y11" s="22">
        <f t="shared" si="3"/>
        <v>1.2396694214876033E-2</v>
      </c>
      <c r="Z11" s="26">
        <f t="shared" si="4"/>
        <v>2.8518518518518516</v>
      </c>
      <c r="AA11" s="22" t="str">
        <f t="shared" ca="1" si="5"/>
        <v xml:space="preserve">11   </v>
      </c>
      <c r="AB11" s="5"/>
      <c r="AC11" s="5"/>
    </row>
    <row r="12" spans="1:29" ht="25.15" customHeight="1" x14ac:dyDescent="0.2">
      <c r="A12" s="5" t="s">
        <v>188</v>
      </c>
      <c r="B12" s="5" t="s">
        <v>29</v>
      </c>
      <c r="C12" s="6" t="s">
        <v>19</v>
      </c>
      <c r="D12" s="40">
        <v>45627</v>
      </c>
      <c r="F12" s="5" t="str">
        <f t="shared" ca="1" si="0"/>
        <v xml:space="preserve">0  m 15  D </v>
      </c>
      <c r="G12" s="5">
        <v>1724</v>
      </c>
      <c r="H12" s="5">
        <v>71050</v>
      </c>
      <c r="I12" s="22">
        <f>الجدول3[[#This Row],[O2]]/الجدول3[[#This Row],[N2]]</f>
        <v>2.426460239268121E-2</v>
      </c>
      <c r="J12" s="5">
        <v>6</v>
      </c>
      <c r="K12" s="5">
        <v>644</v>
      </c>
      <c r="L12" s="5">
        <v>1</v>
      </c>
      <c r="M12" s="5">
        <v>123</v>
      </c>
      <c r="N12" s="42">
        <v>0</v>
      </c>
      <c r="O12" s="5">
        <v>53</v>
      </c>
      <c r="P12" s="5">
        <v>139</v>
      </c>
      <c r="Q12" s="5" t="s">
        <v>166</v>
      </c>
      <c r="R12" s="5" t="s">
        <v>90</v>
      </c>
      <c r="S12" s="5" t="s">
        <v>153</v>
      </c>
      <c r="T12" s="43">
        <f t="shared" si="1"/>
        <v>45717</v>
      </c>
      <c r="U12" s="5" t="str" cm="1">
        <f t="array" ref="U12">IFERROR(MID(S12,MATCH(TRUE,ISNUMBER(1*MID(S12,ROW($1:$10),1)),0),COUNT(1*MID(S12,ROW($1:$10),1))),"غير محدد")</f>
        <v>3</v>
      </c>
      <c r="V12" s="32" t="s">
        <v>93</v>
      </c>
      <c r="W12" s="26">
        <f>'اسيوط الوادي'!$K118/'اسيوط الوادي'!$P118</f>
        <v>2.4600870827285921</v>
      </c>
      <c r="X12" s="22">
        <f t="shared" si="2"/>
        <v>0</v>
      </c>
      <c r="Y12" s="22">
        <f t="shared" si="3"/>
        <v>8.130081300813009E-3</v>
      </c>
      <c r="Z12" s="26">
        <f t="shared" si="4"/>
        <v>8.8333333333333339</v>
      </c>
      <c r="AA12" s="22" t="str">
        <f t="shared" ca="1" si="5"/>
        <v xml:space="preserve">15   </v>
      </c>
      <c r="AB12" s="5"/>
      <c r="AC12" s="5"/>
    </row>
    <row r="13" spans="1:29" ht="25.15" customHeight="1" x14ac:dyDescent="0.2">
      <c r="A13" s="5" t="s">
        <v>188</v>
      </c>
      <c r="B13" s="5" t="s">
        <v>29</v>
      </c>
      <c r="C13" s="6" t="s">
        <v>19</v>
      </c>
      <c r="D13" s="40">
        <v>45656</v>
      </c>
      <c r="F13" s="5" t="str">
        <f t="shared" ca="1" si="0"/>
        <v xml:space="preserve">11  m 16  D </v>
      </c>
      <c r="G13" s="5">
        <v>2466</v>
      </c>
      <c r="H13" s="5">
        <v>70573</v>
      </c>
      <c r="I13" s="22">
        <f>الجدول3[[#This Row],[O2]]/الجدول3[[#This Row],[N2]]</f>
        <v>3.4942541765264339E-2</v>
      </c>
      <c r="J13" s="5">
        <v>10</v>
      </c>
      <c r="K13" s="5">
        <v>1505</v>
      </c>
      <c r="L13" s="5">
        <v>2</v>
      </c>
      <c r="M13" s="5">
        <v>253</v>
      </c>
      <c r="N13" s="42">
        <v>0</v>
      </c>
      <c r="O13" s="5">
        <v>78</v>
      </c>
      <c r="P13" s="5">
        <v>204</v>
      </c>
      <c r="Q13" s="5" t="s">
        <v>11</v>
      </c>
      <c r="R13" s="5" t="s">
        <v>90</v>
      </c>
      <c r="S13" s="5" t="s">
        <v>164</v>
      </c>
      <c r="T13" s="43" t="str">
        <f t="shared" si="1"/>
        <v>غير محدد</v>
      </c>
      <c r="U13" s="5" t="str" cm="1">
        <f t="array" ref="U13">IFERROR(MID(S13,MATCH(TRUE,ISNUMBER(1*MID(S13,ROW($1:$10),1)),0),COUNT(1*MID(S13,ROW($1:$10),1))),"غير محدد")</f>
        <v>غير محدد</v>
      </c>
      <c r="V13" s="32" t="s">
        <v>93</v>
      </c>
      <c r="W13" s="26">
        <f>'اسيوط الوادي'!$K121/'اسيوط الوادي'!$P121</f>
        <v>1.9870892018779343</v>
      </c>
      <c r="X13" s="22">
        <f t="shared" si="2"/>
        <v>0</v>
      </c>
      <c r="Y13" s="22">
        <f t="shared" si="3"/>
        <v>7.9051383399209481E-3</v>
      </c>
      <c r="Z13" s="26">
        <f t="shared" si="4"/>
        <v>7.8</v>
      </c>
      <c r="AA13" s="22" t="str">
        <f t="shared" ca="1" si="5"/>
        <v xml:space="preserve">0 </v>
      </c>
      <c r="AB13" s="5"/>
      <c r="AC13" s="5"/>
    </row>
    <row r="14" spans="1:29" ht="25.15" customHeight="1" x14ac:dyDescent="0.2">
      <c r="A14" s="5" t="s">
        <v>188</v>
      </c>
      <c r="B14" s="5" t="s">
        <v>29</v>
      </c>
      <c r="C14" s="6" t="s">
        <v>19</v>
      </c>
      <c r="D14" s="40">
        <v>45802</v>
      </c>
      <c r="F14" s="5" t="str">
        <f t="shared" ca="1" si="0"/>
        <v xml:space="preserve">6  m 21  D </v>
      </c>
      <c r="G14" s="5">
        <v>7599</v>
      </c>
      <c r="H14" s="5">
        <v>14136</v>
      </c>
      <c r="I14" s="22">
        <f>الجدول3[[#This Row],[O2]]/الجدول3[[#This Row],[N2]]</f>
        <v>0.53756366723259763</v>
      </c>
      <c r="J14" s="5">
        <v>8</v>
      </c>
      <c r="K14" s="5">
        <v>630</v>
      </c>
      <c r="L14" s="5">
        <v>1</v>
      </c>
      <c r="M14" s="5">
        <v>39</v>
      </c>
      <c r="N14" s="42">
        <v>0</v>
      </c>
      <c r="O14" s="5">
        <v>3</v>
      </c>
      <c r="P14" s="5">
        <v>76</v>
      </c>
      <c r="Q14" s="5" t="s">
        <v>25</v>
      </c>
      <c r="R14" s="5" t="s">
        <v>90</v>
      </c>
      <c r="S14" s="5" t="s">
        <v>153</v>
      </c>
      <c r="T14" s="43">
        <f t="shared" si="1"/>
        <v>45894</v>
      </c>
      <c r="U14" s="5" t="str" cm="1">
        <f t="array" ref="U14">IFERROR(MID(S14,MATCH(TRUE,ISNUMBER(1*MID(S14,ROW($1:$10),1)),0),COUNT(1*MID(S14,ROW($1:$10),1))),"غير محدد")</f>
        <v>3</v>
      </c>
      <c r="V14" s="32" t="s">
        <v>93</v>
      </c>
      <c r="W14" s="26">
        <f>'اسيوط الوادي'!$K122/'اسيوط الوادي'!$P122</f>
        <v>2.7248157248157248</v>
      </c>
      <c r="X14" s="22">
        <f t="shared" si="2"/>
        <v>0</v>
      </c>
      <c r="Y14" s="22">
        <f t="shared" si="3"/>
        <v>2.564102564102564E-2</v>
      </c>
      <c r="Z14" s="26">
        <f t="shared" si="4"/>
        <v>0.375</v>
      </c>
      <c r="AA14" s="22" t="str">
        <f t="shared" ca="1" si="5"/>
        <v xml:space="preserve">21   </v>
      </c>
      <c r="AB14" s="5"/>
      <c r="AC14" s="5"/>
    </row>
    <row r="15" spans="1:29" ht="25.15" customHeight="1" x14ac:dyDescent="0.2">
      <c r="A15" s="5" t="s">
        <v>188</v>
      </c>
      <c r="B15" s="5" t="s">
        <v>29</v>
      </c>
      <c r="C15" s="6" t="s">
        <v>19</v>
      </c>
      <c r="D15" s="40">
        <v>45874</v>
      </c>
      <c r="F15" s="5" t="str">
        <f t="shared" ca="1" si="0"/>
        <v xml:space="preserve">4  m 11  D </v>
      </c>
      <c r="G15" s="5">
        <v>5411</v>
      </c>
      <c r="H15" s="5">
        <v>135625</v>
      </c>
      <c r="I15" s="22">
        <f>الجدول3[[#This Row],[O2]]/الجدول3[[#This Row],[N2]]</f>
        <v>3.9896774193548389E-2</v>
      </c>
      <c r="J15" s="5">
        <v>8</v>
      </c>
      <c r="K15" s="5">
        <v>13869</v>
      </c>
      <c r="L15" s="5">
        <v>15</v>
      </c>
      <c r="M15" s="5">
        <v>2</v>
      </c>
      <c r="N15" s="42">
        <v>0</v>
      </c>
      <c r="O15" s="5">
        <v>2</v>
      </c>
      <c r="P15" s="5">
        <v>1331</v>
      </c>
      <c r="Q15" s="5" t="s">
        <v>13</v>
      </c>
      <c r="R15" s="5" t="s">
        <v>90</v>
      </c>
      <c r="S15" s="5" t="s">
        <v>150</v>
      </c>
      <c r="T15" s="43">
        <f t="shared" si="1"/>
        <v>46058</v>
      </c>
      <c r="U15" s="5" t="str" cm="1">
        <f t="array" ref="U15">IFERROR(MID(S15,MATCH(TRUE,ISNUMBER(1*MID(S15,ROW($1:$10),1)),0),COUNT(1*MID(S15,ROW($1:$10),1))),"غير محدد")</f>
        <v>6</v>
      </c>
      <c r="V15" s="32" t="s">
        <v>57</v>
      </c>
      <c r="W15" s="26">
        <f>'اسيوط الوادي'!$K123/'اسيوط الوادي'!$P123</f>
        <v>2.5820433436532508</v>
      </c>
      <c r="X15" s="22">
        <f t="shared" si="2"/>
        <v>0</v>
      </c>
      <c r="Y15" s="22">
        <f t="shared" si="3"/>
        <v>7.5</v>
      </c>
      <c r="Z15" s="26">
        <f t="shared" si="4"/>
        <v>0.25</v>
      </c>
      <c r="AA15" s="22" t="str">
        <f t="shared" ca="1" si="5"/>
        <v xml:space="preserve">0 </v>
      </c>
      <c r="AB15" s="5"/>
      <c r="AC15" s="5"/>
    </row>
    <row r="16" spans="1:29" ht="25.15" customHeight="1" x14ac:dyDescent="0.2">
      <c r="A16" s="5" t="s">
        <v>58</v>
      </c>
      <c r="B16" s="5" t="s">
        <v>38</v>
      </c>
      <c r="C16" s="6" t="s">
        <v>27</v>
      </c>
      <c r="D16" s="40">
        <v>45021</v>
      </c>
      <c r="F16" s="5" t="str">
        <f t="shared" ca="1" si="0"/>
        <v xml:space="preserve">8  m 11  D </v>
      </c>
      <c r="G16" s="5">
        <v>697</v>
      </c>
      <c r="H16" s="5">
        <v>70367</v>
      </c>
      <c r="I16" s="22">
        <f>الجدول3[[#This Row],[O2]]/الجدول3[[#This Row],[N2]]</f>
        <v>9.905211249591428E-3</v>
      </c>
      <c r="J16" s="5">
        <v>11</v>
      </c>
      <c r="K16" s="5">
        <v>1733</v>
      </c>
      <c r="L16" s="5">
        <v>14</v>
      </c>
      <c r="M16" s="5">
        <v>213</v>
      </c>
      <c r="N16" s="42">
        <v>0</v>
      </c>
      <c r="O16" s="5">
        <v>94</v>
      </c>
      <c r="P16" s="5">
        <v>452</v>
      </c>
      <c r="Q16" s="5" t="s">
        <v>13</v>
      </c>
      <c r="R16" s="5" t="s">
        <v>90</v>
      </c>
      <c r="S16" s="5" t="s">
        <v>12</v>
      </c>
      <c r="T16" s="43" t="str">
        <f t="shared" si="1"/>
        <v>غير محدد</v>
      </c>
      <c r="U16" s="5" t="str" cm="1">
        <f t="array" ref="U16">IFERROR(MID(S16,MATCH(TRUE,ISNUMBER(1*MID(S16,ROW($1:$10),1)),0),COUNT(1*MID(S16,ROW($1:$10),1))),"غير محدد")</f>
        <v>غير محدد</v>
      </c>
      <c r="V16" s="32" t="s">
        <v>93</v>
      </c>
      <c r="W16" s="26">
        <f>'اسيوط الوادي'!$K10/'اسيوط الوادي'!$P10</f>
        <v>27.60759493670886</v>
      </c>
      <c r="X16" s="22">
        <f t="shared" si="2"/>
        <v>0</v>
      </c>
      <c r="Y16" s="22">
        <f t="shared" si="3"/>
        <v>6.5727699530516437E-2</v>
      </c>
      <c r="Z16" s="26">
        <f t="shared" si="4"/>
        <v>8.545454545454545</v>
      </c>
      <c r="AA16" s="22" t="str">
        <f t="shared" ca="1" si="5"/>
        <v xml:space="preserve">0 </v>
      </c>
      <c r="AB16" s="5"/>
      <c r="AC16" s="5"/>
    </row>
    <row r="17" spans="1:29" ht="25.15" customHeight="1" x14ac:dyDescent="0.2">
      <c r="A17" s="5" t="s">
        <v>58</v>
      </c>
      <c r="B17" s="5" t="s">
        <v>38</v>
      </c>
      <c r="C17" s="6" t="s">
        <v>27</v>
      </c>
      <c r="D17" s="40">
        <v>45175</v>
      </c>
      <c r="F17" s="5" t="str">
        <f t="shared" ca="1" si="0"/>
        <v xml:space="preserve">3  m 10  D </v>
      </c>
      <c r="G17" s="5">
        <v>2069</v>
      </c>
      <c r="H17" s="5">
        <v>83212</v>
      </c>
      <c r="I17" s="22">
        <f>الجدول3[[#This Row],[O2]]/الجدول3[[#This Row],[N2]]</f>
        <v>2.486420227851752E-2</v>
      </c>
      <c r="J17" s="5">
        <v>3</v>
      </c>
      <c r="K17" s="5">
        <v>2539</v>
      </c>
      <c r="L17" s="5">
        <v>18</v>
      </c>
      <c r="M17" s="5">
        <v>362</v>
      </c>
      <c r="N17" s="42">
        <v>0</v>
      </c>
      <c r="O17" s="5">
        <v>66</v>
      </c>
      <c r="P17" s="5">
        <v>374</v>
      </c>
      <c r="Q17" s="5" t="s">
        <v>25</v>
      </c>
      <c r="R17" s="5" t="s">
        <v>90</v>
      </c>
      <c r="S17" s="5" t="s">
        <v>12</v>
      </c>
      <c r="T17" s="43" t="str">
        <f t="shared" si="1"/>
        <v>غير محدد</v>
      </c>
      <c r="U17" s="5" t="str" cm="1">
        <f t="array" ref="U17">IFERROR(MID(S17,MATCH(TRUE,ISNUMBER(1*MID(S17,ROW($1:$10),1)),0),COUNT(1*MID(S17,ROW($1:$10),1))),"غير محدد")</f>
        <v>غير محدد</v>
      </c>
      <c r="V17" s="32" t="s">
        <v>93</v>
      </c>
      <c r="W17" s="26">
        <f>'اسيوط الوادي'!$K11/'اسيوط الوادي'!$P11</f>
        <v>5.472803347280335</v>
      </c>
      <c r="X17" s="22">
        <f t="shared" si="2"/>
        <v>0</v>
      </c>
      <c r="Y17" s="22">
        <f t="shared" si="3"/>
        <v>4.9723756906077346E-2</v>
      </c>
      <c r="Z17" s="26">
        <f t="shared" si="4"/>
        <v>22</v>
      </c>
      <c r="AA17" s="22" t="str">
        <f t="shared" ca="1" si="5"/>
        <v xml:space="preserve">0 </v>
      </c>
      <c r="AB17" s="5"/>
      <c r="AC17" s="5"/>
    </row>
    <row r="18" spans="1:29" ht="25.15" customHeight="1" x14ac:dyDescent="0.2">
      <c r="A18" s="5" t="s">
        <v>58</v>
      </c>
      <c r="B18" s="5" t="s">
        <v>38</v>
      </c>
      <c r="C18" s="6" t="s">
        <v>27</v>
      </c>
      <c r="D18" s="40">
        <v>45271</v>
      </c>
      <c r="F18" s="5" t="str">
        <f t="shared" ca="1" si="0"/>
        <v xml:space="preserve">0  m 5  D </v>
      </c>
      <c r="G18" s="5">
        <v>7717</v>
      </c>
      <c r="H18" s="5">
        <v>49591</v>
      </c>
      <c r="I18" s="22">
        <f>الجدول3[[#This Row],[O2]]/الجدول3[[#This Row],[N2]]</f>
        <v>0.1556129136335222</v>
      </c>
      <c r="J18" s="5">
        <v>14</v>
      </c>
      <c r="K18" s="5">
        <v>1419</v>
      </c>
      <c r="L18" s="5">
        <v>7</v>
      </c>
      <c r="M18" s="5">
        <v>214</v>
      </c>
      <c r="N18" s="42">
        <v>0</v>
      </c>
      <c r="O18" s="5">
        <v>2</v>
      </c>
      <c r="P18" s="5">
        <v>191</v>
      </c>
      <c r="Q18" s="5" t="s">
        <v>13</v>
      </c>
      <c r="R18" s="5" t="s">
        <v>90</v>
      </c>
      <c r="S18" s="5" t="s">
        <v>12</v>
      </c>
      <c r="T18" s="43" t="str">
        <f t="shared" si="1"/>
        <v>غير محدد</v>
      </c>
      <c r="U18" s="5" t="str" cm="1">
        <f t="array" ref="U18">IFERROR(MID(S18,MATCH(TRUE,ISNUMBER(1*MID(S18,ROW($1:$10),1)),0),COUNT(1*MID(S18,ROW($1:$10),1))),"غير محدد")</f>
        <v>غير محدد</v>
      </c>
      <c r="V18" s="32" t="s">
        <v>93</v>
      </c>
      <c r="W18" s="26">
        <f>'اسيوط الوادي'!$K12/'اسيوط الوادي'!$P12</f>
        <v>4.6330935251798557</v>
      </c>
      <c r="X18" s="22">
        <f t="shared" si="2"/>
        <v>0</v>
      </c>
      <c r="Y18" s="22">
        <f t="shared" si="3"/>
        <v>3.2710280373831772E-2</v>
      </c>
      <c r="Z18" s="26">
        <f t="shared" si="4"/>
        <v>0.14285714285714285</v>
      </c>
      <c r="AA18" s="22" t="str">
        <f t="shared" ca="1" si="5"/>
        <v xml:space="preserve">0 </v>
      </c>
      <c r="AB18" s="5"/>
      <c r="AC18" s="5"/>
    </row>
    <row r="19" spans="1:29" ht="25.15" customHeight="1" x14ac:dyDescent="0.2">
      <c r="A19" s="5" t="s">
        <v>58</v>
      </c>
      <c r="B19" s="5" t="s">
        <v>38</v>
      </c>
      <c r="C19" s="6" t="s">
        <v>27</v>
      </c>
      <c r="D19" s="40">
        <v>45420</v>
      </c>
      <c r="F19" s="5" t="str">
        <f t="shared" ca="1" si="0"/>
        <v xml:space="preserve">7  m 8  D </v>
      </c>
      <c r="G19" s="5">
        <v>3930</v>
      </c>
      <c r="H19" s="5">
        <v>65703</v>
      </c>
      <c r="I19" s="22">
        <f>الجدول3[[#This Row],[O2]]/الجدول3[[#This Row],[N2]]</f>
        <v>5.9814620336970915E-2</v>
      </c>
      <c r="J19" s="5">
        <v>12</v>
      </c>
      <c r="K19" s="5">
        <v>1463</v>
      </c>
      <c r="L19" s="5">
        <v>1</v>
      </c>
      <c r="M19" s="5">
        <v>174</v>
      </c>
      <c r="N19" s="42">
        <v>0</v>
      </c>
      <c r="O19" s="5">
        <v>1</v>
      </c>
      <c r="P19" s="5">
        <v>207</v>
      </c>
      <c r="Q19" s="5" t="s">
        <v>10</v>
      </c>
      <c r="R19" s="5" t="s">
        <v>96</v>
      </c>
      <c r="S19" s="5" t="s">
        <v>153</v>
      </c>
      <c r="T19" s="43">
        <f t="shared" si="1"/>
        <v>45512</v>
      </c>
      <c r="U19" s="5" t="str" cm="1">
        <f t="array" ref="U19">IFERROR(MID(S19,MATCH(TRUE,ISNUMBER(1*MID(S19,ROW($1:$10),1)),0),COUNT(1*MID(S19,ROW($1:$10),1))),"غير محدد")</f>
        <v>3</v>
      </c>
      <c r="V19" s="32" t="s">
        <v>93</v>
      </c>
      <c r="W19" s="26">
        <f>'اسيوط الوادي'!$K14/'اسيوط الوادي'!$P14</f>
        <v>8.2894736842105257</v>
      </c>
      <c r="X19" s="22">
        <f t="shared" si="2"/>
        <v>0</v>
      </c>
      <c r="Y19" s="22">
        <f t="shared" si="3"/>
        <v>5.7471264367816091E-3</v>
      </c>
      <c r="Z19" s="26">
        <f t="shared" si="4"/>
        <v>8.3333333333333329E-2</v>
      </c>
      <c r="AA19" s="22" t="str">
        <f t="shared" ca="1" si="5"/>
        <v xml:space="preserve">8   </v>
      </c>
      <c r="AB19" s="5"/>
      <c r="AC19" s="5"/>
    </row>
    <row r="20" spans="1:29" ht="25.15" customHeight="1" x14ac:dyDescent="0.2">
      <c r="A20" s="5" t="s">
        <v>58</v>
      </c>
      <c r="B20" s="5" t="s">
        <v>38</v>
      </c>
      <c r="C20" s="6" t="s">
        <v>27</v>
      </c>
      <c r="D20" s="40">
        <v>45544</v>
      </c>
      <c r="F20" s="5" t="str">
        <f t="shared" ca="1" si="0"/>
        <v xml:space="preserve">3  m 7  D </v>
      </c>
      <c r="G20" s="5">
        <v>12346</v>
      </c>
      <c r="H20" s="5">
        <v>92861</v>
      </c>
      <c r="I20" s="22">
        <f>الجدول3[[#This Row],[O2]]/الجدول3[[#This Row],[N2]]</f>
        <v>0.13295140048028775</v>
      </c>
      <c r="J20" s="5">
        <v>187</v>
      </c>
      <c r="K20" s="5">
        <v>2138</v>
      </c>
      <c r="L20" s="5">
        <v>7</v>
      </c>
      <c r="M20" s="5">
        <v>293</v>
      </c>
      <c r="N20" s="42">
        <v>0</v>
      </c>
      <c r="O20" s="5">
        <v>49</v>
      </c>
      <c r="P20" s="5">
        <v>167</v>
      </c>
      <c r="Q20" s="5" t="s">
        <v>10</v>
      </c>
      <c r="R20" s="5" t="s">
        <v>90</v>
      </c>
      <c r="S20" s="5" t="s">
        <v>151</v>
      </c>
      <c r="T20" s="43">
        <f t="shared" si="1"/>
        <v>45574</v>
      </c>
      <c r="U20" s="5" t="str" cm="1">
        <f t="array" ref="U20">IFERROR(MID(S20,MATCH(TRUE,ISNUMBER(1*MID(S20,ROW($1:$10),1)),0),COUNT(1*MID(S20,ROW($1:$10),1))),"غير محدد")</f>
        <v>1</v>
      </c>
      <c r="V20" s="32" t="s">
        <v>93</v>
      </c>
      <c r="W20" s="26">
        <f>'اسيوط الوادي'!$K16/'اسيوط الوادي'!$P16</f>
        <v>3.834070796460177</v>
      </c>
      <c r="X20" s="22">
        <f t="shared" si="2"/>
        <v>0</v>
      </c>
      <c r="Y20" s="22">
        <f t="shared" si="3"/>
        <v>2.3890784982935155E-2</v>
      </c>
      <c r="Z20" s="26">
        <f t="shared" si="4"/>
        <v>0.26203208556149732</v>
      </c>
      <c r="AA20" s="22" t="str">
        <f t="shared" ca="1" si="5"/>
        <v xml:space="preserve">7   </v>
      </c>
      <c r="AB20" s="5"/>
      <c r="AC20" s="5"/>
    </row>
    <row r="21" spans="1:29" ht="25.15" customHeight="1" x14ac:dyDescent="0.2">
      <c r="A21" s="5" t="s">
        <v>58</v>
      </c>
      <c r="B21" s="5" t="s">
        <v>38</v>
      </c>
      <c r="C21" s="6" t="s">
        <v>27</v>
      </c>
      <c r="D21" s="40">
        <v>45763</v>
      </c>
      <c r="F21" s="5" t="str">
        <f t="shared" ca="1" si="0"/>
        <v xml:space="preserve">8  m 0  D </v>
      </c>
      <c r="G21" s="5">
        <v>1294</v>
      </c>
      <c r="H21" s="5">
        <v>55412</v>
      </c>
      <c r="I21" s="22">
        <f>الجدول3[[#This Row],[O2]]/الجدول3[[#This Row],[N2]]</f>
        <v>2.335234245289829E-2</v>
      </c>
      <c r="J21" s="5">
        <v>21</v>
      </c>
      <c r="K21" s="5">
        <v>2383</v>
      </c>
      <c r="L21" s="5">
        <v>20</v>
      </c>
      <c r="M21" s="5">
        <v>315</v>
      </c>
      <c r="N21" s="42">
        <v>0</v>
      </c>
      <c r="O21" s="5">
        <v>1</v>
      </c>
      <c r="P21" s="5">
        <v>366</v>
      </c>
      <c r="Q21" s="5" t="s">
        <v>13</v>
      </c>
      <c r="R21" s="5" t="s">
        <v>90</v>
      </c>
      <c r="S21" s="5" t="s">
        <v>153</v>
      </c>
      <c r="T21" s="43">
        <f t="shared" si="1"/>
        <v>45854</v>
      </c>
      <c r="U21" s="5" t="str" cm="1">
        <f t="array" ref="U21">IFERROR(MID(S21,MATCH(TRUE,ISNUMBER(1*MID(S21,ROW($1:$10),1)),0),COUNT(1*MID(S21,ROW($1:$10),1))),"غير محدد")</f>
        <v>3</v>
      </c>
      <c r="V21" s="32" t="s">
        <v>93</v>
      </c>
      <c r="W21" s="26">
        <f>'اسيوط الوادي'!$K17/'اسيوط الوادي'!$P17</f>
        <v>6.7887700534759361</v>
      </c>
      <c r="X21" s="22">
        <f t="shared" si="2"/>
        <v>0</v>
      </c>
      <c r="Y21" s="22">
        <f t="shared" si="3"/>
        <v>6.3492063492063489E-2</v>
      </c>
      <c r="Z21" s="26">
        <f t="shared" si="4"/>
        <v>4.7619047619047616E-2</v>
      </c>
      <c r="AA21" s="22" t="str">
        <f t="shared" ca="1" si="5"/>
        <v xml:space="preserve">0   </v>
      </c>
      <c r="AB21" s="5"/>
      <c r="AC21" s="5"/>
    </row>
    <row r="22" spans="1:29" ht="25.15" customHeight="1" x14ac:dyDescent="0.2">
      <c r="A22" s="5" t="s">
        <v>58</v>
      </c>
      <c r="B22" s="5" t="s">
        <v>38</v>
      </c>
      <c r="C22" s="6" t="s">
        <v>27</v>
      </c>
      <c r="D22" s="40">
        <v>45874</v>
      </c>
      <c r="F22" s="5" t="str">
        <f t="shared" ca="1" si="0"/>
        <v xml:space="preserve">4  m 11  D </v>
      </c>
      <c r="G22" s="5">
        <v>1550</v>
      </c>
      <c r="H22" s="5">
        <v>131570</v>
      </c>
      <c r="I22" s="22">
        <f>الجدول3[[#This Row],[O2]]/الجدول3[[#This Row],[N2]]</f>
        <v>1.1780801094474424E-2</v>
      </c>
      <c r="J22" s="5">
        <v>14</v>
      </c>
      <c r="K22" s="5">
        <v>4680</v>
      </c>
      <c r="L22" s="5">
        <v>25</v>
      </c>
      <c r="M22" s="5">
        <v>683</v>
      </c>
      <c r="N22" s="42">
        <v>0</v>
      </c>
      <c r="O22" s="5">
        <v>36</v>
      </c>
      <c r="P22" s="5">
        <v>417</v>
      </c>
      <c r="Q22" s="5" t="s">
        <v>25</v>
      </c>
      <c r="R22" s="5" t="s">
        <v>90</v>
      </c>
      <c r="S22" s="5" t="s">
        <v>153</v>
      </c>
      <c r="T22" s="43">
        <f t="shared" si="1"/>
        <v>45966</v>
      </c>
      <c r="U22" s="5" t="str" cm="1">
        <f t="array" ref="U22">IFERROR(MID(S22,MATCH(TRUE,ISNUMBER(1*MID(S22,ROW($1:$10),1)),0),COUNT(1*MID(S22,ROW($1:$10),1))),"غير محدد")</f>
        <v>3</v>
      </c>
      <c r="V22" s="32" t="s">
        <v>57</v>
      </c>
      <c r="W22" s="26">
        <f>'اسيوط الوادي'!$K18/'اسيوط الوادي'!$P18</f>
        <v>7.4293193717277486</v>
      </c>
      <c r="X22" s="22">
        <f t="shared" si="2"/>
        <v>0</v>
      </c>
      <c r="Y22" s="22">
        <f t="shared" si="3"/>
        <v>3.6603221083455345E-2</v>
      </c>
      <c r="Z22" s="26">
        <f t="shared" si="4"/>
        <v>2.5714285714285716</v>
      </c>
      <c r="AA22" s="22" t="str">
        <f t="shared" ca="1" si="5"/>
        <v xml:space="preserve">11   </v>
      </c>
      <c r="AB22" s="5"/>
      <c r="AC22" s="5"/>
    </row>
    <row r="23" spans="1:29" ht="25.15" customHeight="1" x14ac:dyDescent="0.2">
      <c r="A23" s="5" t="s">
        <v>191</v>
      </c>
      <c r="B23" s="5" t="s">
        <v>15</v>
      </c>
      <c r="C23" s="6" t="s">
        <v>27</v>
      </c>
      <c r="D23" s="40">
        <v>45874</v>
      </c>
      <c r="F23" s="5" t="str">
        <f t="shared" ca="1" si="0"/>
        <v xml:space="preserve">4  m 11  D </v>
      </c>
      <c r="G23" s="5">
        <v>3691</v>
      </c>
      <c r="H23" s="5">
        <v>127566</v>
      </c>
      <c r="I23" s="22">
        <f>الجدول3[[#This Row],[O2]]/الجدول3[[#This Row],[N2]]</f>
        <v>2.893404198610915E-2</v>
      </c>
      <c r="J23" s="5">
        <v>53</v>
      </c>
      <c r="K23" s="5">
        <v>6099</v>
      </c>
      <c r="L23" s="5">
        <v>36</v>
      </c>
      <c r="M23" s="5">
        <v>292</v>
      </c>
      <c r="N23" s="42">
        <v>0</v>
      </c>
      <c r="O23" s="5">
        <v>45</v>
      </c>
      <c r="P23" s="5">
        <v>659</v>
      </c>
      <c r="Q23" s="5" t="s">
        <v>25</v>
      </c>
      <c r="R23" s="5" t="s">
        <v>90</v>
      </c>
      <c r="S23" s="5" t="s">
        <v>153</v>
      </c>
      <c r="T23" s="43">
        <f t="shared" si="1"/>
        <v>45966</v>
      </c>
      <c r="U23" s="5" t="str" cm="1">
        <f t="array" ref="U23">IFERROR(MID(S23,MATCH(TRUE,ISNUMBER(1*MID(S23,ROW($1:$10),1)),0),COUNT(1*MID(S23,ROW($1:$10),1))),"غير محدد")</f>
        <v>3</v>
      </c>
      <c r="V23" s="32" t="s">
        <v>57</v>
      </c>
      <c r="W23" s="26">
        <f>'اسيوط الوادي'!$K16/'اسيوط الوادي'!$P16</f>
        <v>3.834070796460177</v>
      </c>
      <c r="X23" s="22">
        <f t="shared" si="2"/>
        <v>0</v>
      </c>
      <c r="Y23" s="22">
        <f t="shared" si="3"/>
        <v>0.12328767123287671</v>
      </c>
      <c r="Z23" s="26">
        <f t="shared" si="4"/>
        <v>0.84905660377358494</v>
      </c>
      <c r="AA23" s="22" t="str">
        <f t="shared" ca="1" si="5"/>
        <v xml:space="preserve">11   </v>
      </c>
      <c r="AB23" s="5"/>
      <c r="AC23" s="5"/>
    </row>
    <row r="24" spans="1:29" ht="25.15" customHeight="1" x14ac:dyDescent="0.2">
      <c r="A24" s="5" t="s">
        <v>191</v>
      </c>
      <c r="B24" s="5" t="s">
        <v>24</v>
      </c>
      <c r="C24" s="6" t="s">
        <v>27</v>
      </c>
      <c r="D24" s="40">
        <v>45874</v>
      </c>
      <c r="F24" s="5" t="str">
        <f t="shared" ca="1" si="0"/>
        <v xml:space="preserve">4  m 11  D </v>
      </c>
      <c r="G24" s="5">
        <v>4667</v>
      </c>
      <c r="H24" s="5">
        <v>120899</v>
      </c>
      <c r="I24" s="22">
        <f>الجدول3[[#This Row],[O2]]/الجدول3[[#This Row],[N2]]</f>
        <v>3.8602469830188835E-2</v>
      </c>
      <c r="J24" s="5">
        <v>238</v>
      </c>
      <c r="K24" s="5">
        <v>6544</v>
      </c>
      <c r="L24" s="5">
        <v>22</v>
      </c>
      <c r="M24" s="5">
        <v>285</v>
      </c>
      <c r="N24" s="42">
        <v>0</v>
      </c>
      <c r="O24" s="5">
        <v>38</v>
      </c>
      <c r="P24" s="5">
        <v>615</v>
      </c>
      <c r="Q24" s="5" t="s">
        <v>13</v>
      </c>
      <c r="R24" s="5" t="s">
        <v>90</v>
      </c>
      <c r="S24" s="5" t="s">
        <v>151</v>
      </c>
      <c r="T24" s="43">
        <f t="shared" si="1"/>
        <v>45905</v>
      </c>
      <c r="U24" s="5" t="str" cm="1">
        <f t="array" ref="U24">IFERROR(MID(S24,MATCH(TRUE,ISNUMBER(1*MID(S24,ROW($1:$10),1)),0),COUNT(1*MID(S24,ROW($1:$10),1))),"غير محدد")</f>
        <v>1</v>
      </c>
      <c r="V24" s="32" t="s">
        <v>57</v>
      </c>
      <c r="W24" s="26">
        <f>'اسيوط الوادي'!$K17/'اسيوط الوادي'!$P17</f>
        <v>6.7887700534759361</v>
      </c>
      <c r="X24" s="22">
        <f t="shared" si="2"/>
        <v>0</v>
      </c>
      <c r="Y24" s="22">
        <f t="shared" si="3"/>
        <v>7.7192982456140355E-2</v>
      </c>
      <c r="Z24" s="26">
        <f t="shared" si="4"/>
        <v>0.15966386554621848</v>
      </c>
      <c r="AA24" s="22" t="str">
        <f t="shared" ca="1" si="5"/>
        <v xml:space="preserve">11   </v>
      </c>
      <c r="AB24" s="5"/>
      <c r="AC24" s="5"/>
    </row>
    <row r="25" spans="1:29" ht="25.15" customHeight="1" x14ac:dyDescent="0.2">
      <c r="A25" s="5" t="s">
        <v>191</v>
      </c>
      <c r="B25" s="5" t="s">
        <v>38</v>
      </c>
      <c r="C25" s="6" t="s">
        <v>27</v>
      </c>
      <c r="D25" s="40">
        <v>45553</v>
      </c>
      <c r="F25" s="5" t="str">
        <f t="shared" ca="1" si="0"/>
        <v xml:space="preserve">2  m 28  D </v>
      </c>
      <c r="G25" s="5">
        <v>8054</v>
      </c>
      <c r="H25" s="5">
        <v>131620</v>
      </c>
      <c r="I25" s="22">
        <f>الجدول3[[#This Row],[O2]]/الجدول3[[#This Row],[N2]]</f>
        <v>6.1191308311806719E-2</v>
      </c>
      <c r="J25" s="5">
        <v>430</v>
      </c>
      <c r="K25" s="5">
        <v>2944</v>
      </c>
      <c r="L25" s="5">
        <v>13</v>
      </c>
      <c r="M25" s="5">
        <v>210</v>
      </c>
      <c r="N25" s="42">
        <v>0</v>
      </c>
      <c r="O25" s="5">
        <v>23</v>
      </c>
      <c r="P25" s="5">
        <v>695</v>
      </c>
      <c r="Q25" s="5" t="s">
        <v>10</v>
      </c>
      <c r="R25" s="5" t="s">
        <v>90</v>
      </c>
      <c r="S25" s="5" t="s">
        <v>151</v>
      </c>
      <c r="T25" s="43">
        <f t="shared" si="1"/>
        <v>45583</v>
      </c>
      <c r="U25" s="5" t="str" cm="1">
        <f t="array" ref="U25">IFERROR(MID(S25,MATCH(TRUE,ISNUMBER(1*MID(S25,ROW($1:$10),1)),0),COUNT(1*MID(S25,ROW($1:$10),1))),"غير محدد")</f>
        <v>1</v>
      </c>
      <c r="V25" s="32" t="s">
        <v>93</v>
      </c>
      <c r="W25" s="26">
        <f>'اسيوط الوادي'!$K18/'اسيوط الوادي'!$P18</f>
        <v>7.4293193717277486</v>
      </c>
      <c r="X25" s="22">
        <f t="shared" si="2"/>
        <v>0</v>
      </c>
      <c r="Y25" s="22">
        <f t="shared" si="3"/>
        <v>6.1904761904761907E-2</v>
      </c>
      <c r="Z25" s="26">
        <f t="shared" si="4"/>
        <v>5.3488372093023255E-2</v>
      </c>
      <c r="AA25" s="22" t="str">
        <f t="shared" ca="1" si="5"/>
        <v xml:space="preserve">28   </v>
      </c>
      <c r="AB25" s="5"/>
      <c r="AC25" s="5"/>
    </row>
    <row r="26" spans="1:29" ht="25.15" customHeight="1" x14ac:dyDescent="0.2">
      <c r="A26" s="5" t="s">
        <v>191</v>
      </c>
      <c r="B26" s="5" t="s">
        <v>38</v>
      </c>
      <c r="C26" s="6" t="s">
        <v>27</v>
      </c>
      <c r="D26" s="40">
        <v>45754</v>
      </c>
      <c r="F26" s="5" t="str">
        <f t="shared" ca="1" si="0"/>
        <v xml:space="preserve">8  m 9  D </v>
      </c>
      <c r="G26" s="5">
        <v>7643</v>
      </c>
      <c r="H26" s="5">
        <v>52669</v>
      </c>
      <c r="I26" s="22">
        <f>الجدول3[[#This Row],[O2]]/الجدول3[[#This Row],[N2]]</f>
        <v>0.14511382407108545</v>
      </c>
      <c r="J26" s="5">
        <v>108</v>
      </c>
      <c r="K26" s="5">
        <v>3639</v>
      </c>
      <c r="L26" s="5">
        <v>12</v>
      </c>
      <c r="M26" s="5">
        <v>111</v>
      </c>
      <c r="N26" s="42">
        <v>0</v>
      </c>
      <c r="O26" s="5">
        <v>1</v>
      </c>
      <c r="P26" s="5">
        <v>429</v>
      </c>
      <c r="Q26" s="5" t="s">
        <v>13</v>
      </c>
      <c r="R26" s="5" t="s">
        <v>90</v>
      </c>
      <c r="S26" s="5" t="s">
        <v>151</v>
      </c>
      <c r="T26" s="43">
        <f t="shared" si="1"/>
        <v>45784</v>
      </c>
      <c r="U26" s="5" t="str" cm="1">
        <f t="array" ref="U26">IFERROR(MID(S26,MATCH(TRUE,ISNUMBER(1*MID(S26,ROW($1:$10),1)),0),COUNT(1*MID(S26,ROW($1:$10),1))),"غير محدد")</f>
        <v>1</v>
      </c>
      <c r="V26" s="32" t="s">
        <v>57</v>
      </c>
      <c r="W26" s="26">
        <f>'اسيوط الوادي'!$K17/'اسيوط الوادي'!$P17</f>
        <v>6.7887700534759361</v>
      </c>
      <c r="X26" s="22">
        <f t="shared" si="2"/>
        <v>0</v>
      </c>
      <c r="Y26" s="22">
        <f t="shared" si="3"/>
        <v>0.10810810810810811</v>
      </c>
      <c r="Z26" s="26">
        <f t="shared" si="4"/>
        <v>9.2592592592592587E-3</v>
      </c>
      <c r="AA26" s="22" t="str">
        <f t="shared" ca="1" si="5"/>
        <v xml:space="preserve">9   </v>
      </c>
      <c r="AB26" s="5"/>
      <c r="AC26" s="5"/>
    </row>
    <row r="27" spans="1:29" ht="25.15" customHeight="1" x14ac:dyDescent="0.2">
      <c r="A27" s="5" t="s">
        <v>191</v>
      </c>
      <c r="B27" s="5" t="s">
        <v>38</v>
      </c>
      <c r="C27" s="6" t="s">
        <v>27</v>
      </c>
      <c r="D27" s="40">
        <v>45754</v>
      </c>
      <c r="F27" s="5" t="str">
        <f t="shared" ca="1" si="0"/>
        <v xml:space="preserve">8  m 9  D </v>
      </c>
      <c r="G27" s="5">
        <v>7643</v>
      </c>
      <c r="H27" s="5">
        <v>52669</v>
      </c>
      <c r="I27" s="22">
        <f>الجدول3[[#This Row],[O2]]/الجدول3[[#This Row],[N2]]</f>
        <v>0.14511382407108545</v>
      </c>
      <c r="J27" s="5">
        <v>108</v>
      </c>
      <c r="K27" s="5">
        <v>3639</v>
      </c>
      <c r="L27" s="5">
        <v>12</v>
      </c>
      <c r="M27" s="5">
        <v>111</v>
      </c>
      <c r="N27" s="42">
        <v>0</v>
      </c>
      <c r="O27" s="5">
        <v>1</v>
      </c>
      <c r="P27" s="5">
        <v>429</v>
      </c>
      <c r="Q27" s="5" t="s">
        <v>13</v>
      </c>
      <c r="R27" s="5" t="s">
        <v>90</v>
      </c>
      <c r="S27" s="5" t="s">
        <v>151</v>
      </c>
      <c r="T27" s="43">
        <f t="shared" si="1"/>
        <v>45784</v>
      </c>
      <c r="U27" s="5" t="str" cm="1">
        <f t="array" ref="U27">IFERROR(MID(S27,MATCH(TRUE,ISNUMBER(1*MID(S27,ROW($1:$10),1)),0),COUNT(1*MID(S27,ROW($1:$10),1))),"غير محدد")</f>
        <v>1</v>
      </c>
      <c r="V27" s="32" t="s">
        <v>93</v>
      </c>
      <c r="W27" s="26">
        <f>'اسيوط الوادي'!$K19/'اسيوط الوادي'!$P19</f>
        <v>7.0676328502415462</v>
      </c>
      <c r="X27" s="22">
        <f t="shared" si="2"/>
        <v>0</v>
      </c>
      <c r="Y27" s="22">
        <f t="shared" si="3"/>
        <v>0.10810810810810811</v>
      </c>
      <c r="Z27" s="26">
        <f t="shared" si="4"/>
        <v>9.2592592592592587E-3</v>
      </c>
      <c r="AA27" s="22" t="str">
        <f t="shared" ca="1" si="5"/>
        <v xml:space="preserve">9   </v>
      </c>
      <c r="AB27" s="5"/>
      <c r="AC27" s="5"/>
    </row>
    <row r="28" spans="1:29" ht="25.15" customHeight="1" x14ac:dyDescent="0.2">
      <c r="A28" s="5" t="s">
        <v>191</v>
      </c>
      <c r="B28" s="5" t="s">
        <v>38</v>
      </c>
      <c r="C28" s="6" t="s">
        <v>27</v>
      </c>
      <c r="D28" s="40">
        <v>45809</v>
      </c>
      <c r="F28" s="5" t="str">
        <f t="shared" ca="1" si="0"/>
        <v xml:space="preserve">6  m 15  D </v>
      </c>
      <c r="G28" s="5">
        <v>5931</v>
      </c>
      <c r="H28" s="5">
        <v>58951</v>
      </c>
      <c r="I28" s="22">
        <f>الجدول3[[#This Row],[O2]]/الجدول3[[#This Row],[N2]]</f>
        <v>0.10060898033960408</v>
      </c>
      <c r="J28" s="5">
        <v>96</v>
      </c>
      <c r="K28" s="5">
        <v>2017</v>
      </c>
      <c r="L28" s="5">
        <v>2</v>
      </c>
      <c r="M28" s="5">
        <v>57</v>
      </c>
      <c r="N28" s="42">
        <v>0</v>
      </c>
      <c r="O28" s="5">
        <v>6</v>
      </c>
      <c r="P28" s="5">
        <v>180</v>
      </c>
      <c r="Q28" s="5" t="s">
        <v>25</v>
      </c>
      <c r="R28" s="5" t="s">
        <v>90</v>
      </c>
      <c r="S28" s="5" t="s">
        <v>151</v>
      </c>
      <c r="T28" s="43">
        <f t="shared" si="1"/>
        <v>45839</v>
      </c>
      <c r="U28" s="5" t="str" cm="1">
        <f t="array" ref="U28">IFERROR(MID(S28,MATCH(TRUE,ISNUMBER(1*MID(S28,ROW($1:$10),1)),0),COUNT(1*MID(S28,ROW($1:$10),1))),"غير محدد")</f>
        <v>1</v>
      </c>
      <c r="V28" s="32" t="s">
        <v>57</v>
      </c>
      <c r="W28" s="26">
        <f>'اسيوط الوادي'!$K20/'اسيوط الوادي'!$P20</f>
        <v>12.802395209580839</v>
      </c>
      <c r="X28" s="22">
        <f t="shared" si="2"/>
        <v>0</v>
      </c>
      <c r="Y28" s="22">
        <f t="shared" si="3"/>
        <v>3.5087719298245612E-2</v>
      </c>
      <c r="Z28" s="26">
        <f t="shared" si="4"/>
        <v>6.25E-2</v>
      </c>
      <c r="AA28" s="22" t="str">
        <f t="shared" ca="1" si="5"/>
        <v xml:space="preserve">15   </v>
      </c>
      <c r="AB28" s="5"/>
      <c r="AC28" s="5"/>
    </row>
    <row r="29" spans="1:29" ht="25.15" customHeight="1" x14ac:dyDescent="0.2">
      <c r="A29" s="5" t="s">
        <v>162</v>
      </c>
      <c r="B29" s="5" t="s">
        <v>15</v>
      </c>
      <c r="C29" s="6" t="s">
        <v>16</v>
      </c>
      <c r="D29" s="40">
        <v>45098</v>
      </c>
      <c r="F29" s="5" t="str">
        <f t="shared" ca="1" si="0"/>
        <v xml:space="preserve">5  m 25  D </v>
      </c>
      <c r="G29" s="5">
        <v>27474</v>
      </c>
      <c r="H29" s="5">
        <v>110387</v>
      </c>
      <c r="I29" s="22">
        <f>الجدول3[[#This Row],[O2]]/الجدول3[[#This Row],[N2]]</f>
        <v>0.24888800311630899</v>
      </c>
      <c r="J29" s="5">
        <v>17</v>
      </c>
      <c r="K29" s="5">
        <v>1360</v>
      </c>
      <c r="L29" s="5">
        <v>2</v>
      </c>
      <c r="M29" s="5">
        <v>4</v>
      </c>
      <c r="N29" s="42">
        <v>0</v>
      </c>
      <c r="O29" s="5">
        <v>1</v>
      </c>
      <c r="P29" s="5">
        <v>204</v>
      </c>
      <c r="Q29" s="5" t="s">
        <v>21</v>
      </c>
      <c r="R29" s="5">
        <v>1</v>
      </c>
      <c r="S29" s="5" t="s">
        <v>22</v>
      </c>
      <c r="T29" s="43" t="str">
        <f t="shared" si="1"/>
        <v>غير محدد</v>
      </c>
      <c r="U29" s="5" t="str" cm="1">
        <f t="array" ref="U29">IFERROR(MID(S29,MATCH(TRUE,ISNUMBER(1*MID(S29,ROW($1:$10),1)),0),COUNT(1*MID(S29,ROW($1:$10),1))),"غير محدد")</f>
        <v>غير محدد</v>
      </c>
      <c r="V29" s="32" t="s">
        <v>93</v>
      </c>
      <c r="W29" s="26">
        <f>'اسيوط الوادي'!$K18/'اسيوط الوادي'!$P18</f>
        <v>7.4293193717277486</v>
      </c>
      <c r="X29" s="22">
        <f t="shared" si="2"/>
        <v>0</v>
      </c>
      <c r="Y29" s="22">
        <f t="shared" si="3"/>
        <v>0.5</v>
      </c>
      <c r="Z29" s="22">
        <f t="shared" si="4"/>
        <v>5.8823529411764705E-2</v>
      </c>
      <c r="AA29" s="22" t="str">
        <f t="shared" ca="1" si="5"/>
        <v xml:space="preserve">0 </v>
      </c>
      <c r="AB29" s="5"/>
      <c r="AC29" s="5"/>
    </row>
    <row r="30" spans="1:29" ht="25.15" customHeight="1" x14ac:dyDescent="0.2">
      <c r="A30" s="5" t="s">
        <v>78</v>
      </c>
      <c r="B30" s="5" t="s">
        <v>15</v>
      </c>
      <c r="C30" s="6" t="s">
        <v>16</v>
      </c>
      <c r="D30" s="40">
        <v>45068</v>
      </c>
      <c r="F30" s="5" t="str">
        <f t="shared" ca="1" si="0"/>
        <v xml:space="preserve">6  m 24  D </v>
      </c>
      <c r="G30" s="5">
        <v>16118</v>
      </c>
      <c r="H30" s="5">
        <v>97165</v>
      </c>
      <c r="I30" s="22">
        <f>الجدول3[[#This Row],[O2]]/الجدول3[[#This Row],[N2]]</f>
        <v>0.16588277672001234</v>
      </c>
      <c r="J30" s="5">
        <v>101</v>
      </c>
      <c r="K30" s="5">
        <v>3054</v>
      </c>
      <c r="L30" s="5">
        <v>5</v>
      </c>
      <c r="M30" s="5">
        <v>2</v>
      </c>
      <c r="N30" s="42">
        <v>0</v>
      </c>
      <c r="O30" s="5">
        <v>1</v>
      </c>
      <c r="P30" s="5">
        <v>852</v>
      </c>
      <c r="Q30" s="5" t="s">
        <v>13</v>
      </c>
      <c r="R30" s="5">
        <v>2</v>
      </c>
      <c r="S30" s="5" t="s">
        <v>12</v>
      </c>
      <c r="T30" s="43" t="str">
        <f t="shared" si="1"/>
        <v>غير محدد</v>
      </c>
      <c r="U30" s="5" t="str" cm="1">
        <f t="array" ref="U30">IFERROR(MID(S30,MATCH(TRUE,ISNUMBER(1*MID(S30,ROW($1:$10),1)),0),COUNT(1*MID(S30,ROW($1:$10),1))),"غير محدد")</f>
        <v>غير محدد</v>
      </c>
      <c r="V30" s="32" t="s">
        <v>57</v>
      </c>
      <c r="W30" s="26">
        <f>'اسيوط الوادي'!$K19/'اسيوط الوادي'!$P19</f>
        <v>7.0676328502415462</v>
      </c>
      <c r="X30" s="22">
        <f t="shared" si="2"/>
        <v>0</v>
      </c>
      <c r="Y30" s="22">
        <f t="shared" si="3"/>
        <v>2.5</v>
      </c>
      <c r="Z30" s="26">
        <f t="shared" si="4"/>
        <v>9.9009900990099011E-3</v>
      </c>
      <c r="AA30" s="22" t="str">
        <f t="shared" ca="1" si="5"/>
        <v xml:space="preserve">0 </v>
      </c>
      <c r="AB30" s="5"/>
      <c r="AC30" s="5"/>
    </row>
    <row r="31" spans="1:29" ht="25.15" customHeight="1" x14ac:dyDescent="0.2">
      <c r="A31" s="5" t="s">
        <v>78</v>
      </c>
      <c r="B31" s="5" t="s">
        <v>24</v>
      </c>
      <c r="C31" s="6" t="s">
        <v>16</v>
      </c>
      <c r="D31" s="40">
        <v>45802</v>
      </c>
      <c r="F31" s="5" t="str">
        <f t="shared" ca="1" si="0"/>
        <v xml:space="preserve">6  m 21  D </v>
      </c>
      <c r="G31" s="5">
        <v>7819</v>
      </c>
      <c r="H31" s="5">
        <v>104964</v>
      </c>
      <c r="I31" s="22">
        <f>الجدول3[[#This Row],[O2]]/الجدول3[[#This Row],[N2]]</f>
        <v>7.4492206851873022E-2</v>
      </c>
      <c r="J31" s="5">
        <v>16</v>
      </c>
      <c r="K31" s="5">
        <v>3425</v>
      </c>
      <c r="L31" s="5">
        <v>4</v>
      </c>
      <c r="M31" s="5">
        <v>15</v>
      </c>
      <c r="N31" s="42">
        <v>0</v>
      </c>
      <c r="O31" s="5">
        <v>9</v>
      </c>
      <c r="P31" s="5">
        <v>914</v>
      </c>
      <c r="Q31" s="5" t="s">
        <v>25</v>
      </c>
      <c r="R31" s="5" t="s">
        <v>90</v>
      </c>
      <c r="S31" s="5" t="s">
        <v>151</v>
      </c>
      <c r="T31" s="43">
        <f t="shared" si="1"/>
        <v>45833</v>
      </c>
      <c r="U31" s="5" t="str" cm="1">
        <f t="array" ref="U31">IFERROR(MID(S31,MATCH(TRUE,ISNUMBER(1*MID(S31,ROW($1:$10),1)),0),COUNT(1*MID(S31,ROW($1:$10),1))),"غير محدد")</f>
        <v>1</v>
      </c>
      <c r="V31" s="32" t="s">
        <v>57</v>
      </c>
      <c r="W31" s="26">
        <f>'اسيوط الوادي'!$K20/'اسيوط الوادي'!$P20</f>
        <v>12.802395209580839</v>
      </c>
      <c r="X31" s="22">
        <f t="shared" si="2"/>
        <v>0</v>
      </c>
      <c r="Y31" s="22">
        <f t="shared" si="3"/>
        <v>0.26666666666666666</v>
      </c>
      <c r="Z31" s="26">
        <f t="shared" si="4"/>
        <v>0.5625</v>
      </c>
      <c r="AA31" s="22" t="str">
        <f t="shared" ca="1" si="5"/>
        <v xml:space="preserve">21   </v>
      </c>
      <c r="AB31" s="5"/>
      <c r="AC31" s="5"/>
    </row>
    <row r="32" spans="1:29" ht="25.15" customHeight="1" x14ac:dyDescent="0.2">
      <c r="A32" s="5" t="s">
        <v>78</v>
      </c>
      <c r="B32" s="5" t="s">
        <v>39</v>
      </c>
      <c r="C32" s="6" t="s">
        <v>19</v>
      </c>
      <c r="D32" s="40">
        <v>45874</v>
      </c>
      <c r="F32" s="5" t="str">
        <f t="shared" ca="1" si="0"/>
        <v xml:space="preserve">4  m 11  D </v>
      </c>
      <c r="G32" s="5">
        <v>3835</v>
      </c>
      <c r="H32" s="5">
        <v>141626</v>
      </c>
      <c r="I32" s="22">
        <f>الجدول3[[#This Row],[O2]]/الجدول3[[#This Row],[N2]]</f>
        <v>2.707836131783712E-2</v>
      </c>
      <c r="J32" s="5">
        <v>43</v>
      </c>
      <c r="K32" s="5">
        <v>14322</v>
      </c>
      <c r="L32" s="5">
        <v>406</v>
      </c>
      <c r="M32" s="5">
        <v>71</v>
      </c>
      <c r="N32" s="42">
        <v>0</v>
      </c>
      <c r="O32" s="5">
        <v>8</v>
      </c>
      <c r="P32" s="5">
        <v>1028</v>
      </c>
      <c r="Q32" s="5" t="s">
        <v>13</v>
      </c>
      <c r="R32" s="5" t="s">
        <v>90</v>
      </c>
      <c r="S32" s="5" t="s">
        <v>150</v>
      </c>
      <c r="T32" s="43">
        <f t="shared" si="1"/>
        <v>46058</v>
      </c>
      <c r="U32" s="5" t="str" cm="1">
        <f t="array" ref="U32">IFERROR(MID(S32,MATCH(TRUE,ISNUMBER(1*MID(S32,ROW($1:$10),1)),0),COUNT(1*MID(S32,ROW($1:$10),1))),"غير محدد")</f>
        <v>6</v>
      </c>
      <c r="V32" s="32" t="s">
        <v>57</v>
      </c>
      <c r="W32" s="26">
        <f>'اسيوط الوادي'!$K21/'اسيوط الوادي'!$P21</f>
        <v>6.5109289617486334</v>
      </c>
      <c r="X32" s="22">
        <f t="shared" si="2"/>
        <v>0</v>
      </c>
      <c r="Y32" s="22">
        <f t="shared" si="3"/>
        <v>5.71830985915493</v>
      </c>
      <c r="Z32" s="26">
        <f t="shared" si="4"/>
        <v>0.18604651162790697</v>
      </c>
      <c r="AA32" s="22" t="str">
        <f t="shared" ca="1" si="5"/>
        <v xml:space="preserve">0 </v>
      </c>
      <c r="AB32" s="5"/>
      <c r="AC32" s="5"/>
    </row>
    <row r="33" spans="1:29" ht="25.15" customHeight="1" x14ac:dyDescent="0.2">
      <c r="A33" s="5" t="s">
        <v>163</v>
      </c>
      <c r="B33" s="5" t="s">
        <v>15</v>
      </c>
      <c r="C33" s="6" t="s">
        <v>27</v>
      </c>
      <c r="D33" s="40">
        <v>45361</v>
      </c>
      <c r="F33" s="5" t="str">
        <f t="shared" ca="1" si="0"/>
        <v xml:space="preserve">9  m 6  D </v>
      </c>
      <c r="G33" s="5">
        <v>3877</v>
      </c>
      <c r="H33" s="5">
        <v>81309</v>
      </c>
      <c r="I33" s="22">
        <f>الجدول3[[#This Row],[O2]]/الجدول3[[#This Row],[N2]]</f>
        <v>4.7682298392551871E-2</v>
      </c>
      <c r="J33" s="5">
        <v>396</v>
      </c>
      <c r="K33" s="5">
        <v>3342</v>
      </c>
      <c r="L33" s="5">
        <v>36</v>
      </c>
      <c r="M33" s="5">
        <v>17</v>
      </c>
      <c r="N33" s="42">
        <v>0</v>
      </c>
      <c r="O33" s="5">
        <v>3</v>
      </c>
      <c r="P33" s="5">
        <v>326</v>
      </c>
      <c r="Q33" s="5" t="s">
        <v>13</v>
      </c>
      <c r="R33" s="5" t="s">
        <v>90</v>
      </c>
      <c r="S33" s="5" t="s">
        <v>151</v>
      </c>
      <c r="T33" s="43">
        <f t="shared" si="1"/>
        <v>45392</v>
      </c>
      <c r="U33" s="5" t="str" cm="1">
        <f t="array" ref="U33">IFERROR(MID(S33,MATCH(TRUE,ISNUMBER(1*MID(S33,ROW($1:$10),1)),0),COUNT(1*MID(S33,ROW($1:$10),1))),"غير محدد")</f>
        <v>1</v>
      </c>
      <c r="V33" s="32" t="s">
        <v>93</v>
      </c>
      <c r="W33" s="26">
        <f>'اسيوط الوادي'!$K20/'اسيوط الوادي'!$P20</f>
        <v>12.802395209580839</v>
      </c>
      <c r="X33" s="22">
        <f t="shared" si="2"/>
        <v>0</v>
      </c>
      <c r="Y33" s="22">
        <f t="shared" si="3"/>
        <v>2.1176470588235294</v>
      </c>
      <c r="Z33" s="26">
        <f t="shared" si="4"/>
        <v>7.575757575757576E-3</v>
      </c>
      <c r="AA33" s="22" t="str">
        <f t="shared" ca="1" si="5"/>
        <v xml:space="preserve">6   </v>
      </c>
      <c r="AB33" s="5"/>
      <c r="AC33" s="5"/>
    </row>
    <row r="34" spans="1:29" ht="25.15" customHeight="1" x14ac:dyDescent="0.2">
      <c r="A34" s="5" t="s">
        <v>163</v>
      </c>
      <c r="B34" s="5" t="s">
        <v>38</v>
      </c>
      <c r="C34" s="6" t="s">
        <v>27</v>
      </c>
      <c r="D34" s="40">
        <v>45544</v>
      </c>
      <c r="F34" s="5" t="str">
        <f t="shared" ref="F34:F67" ca="1" si="6">IFERROR(DATEDIF(D34,TODAY(),"YM") &amp; "  m " &amp; DATEDIF(D34,TODAY(),"MD") &amp; "  D "," ")</f>
        <v xml:space="preserve">3  m 7  D </v>
      </c>
      <c r="G34" s="5">
        <v>2053</v>
      </c>
      <c r="H34" s="5">
        <v>65576</v>
      </c>
      <c r="I34" s="22">
        <f>الجدول3[[#This Row],[O2]]/الجدول3[[#This Row],[N2]]</f>
        <v>3.1307185555691106E-2</v>
      </c>
      <c r="J34" s="5">
        <v>415</v>
      </c>
      <c r="K34" s="5">
        <v>2055</v>
      </c>
      <c r="L34" s="5">
        <v>1</v>
      </c>
      <c r="M34" s="5">
        <v>22</v>
      </c>
      <c r="N34" s="42">
        <v>0</v>
      </c>
      <c r="O34" s="5">
        <v>7</v>
      </c>
      <c r="P34" s="5">
        <v>390</v>
      </c>
      <c r="Q34" s="5" t="s">
        <v>10</v>
      </c>
      <c r="R34" s="5" t="s">
        <v>90</v>
      </c>
      <c r="S34" s="5" t="s">
        <v>151</v>
      </c>
      <c r="T34" s="43">
        <f t="shared" ref="T34:T67" si="7">IFERROR(IF(V34&gt;=1,EDATE(D34,U34),"غير محدد"),"غير محدد")</f>
        <v>45574</v>
      </c>
      <c r="U34" s="5" t="str" cm="1">
        <f t="array" ref="U34">IFERROR(MID(S34,MATCH(TRUE,ISNUMBER(1*MID(S34,ROW($1:$10),1)),0),COUNT(1*MID(S34,ROW($1:$10),1))),"غير محدد")</f>
        <v>1</v>
      </c>
      <c r="V34" s="32" t="s">
        <v>93</v>
      </c>
      <c r="W34" s="26">
        <f>'اسيوط الوادي'!$K25/'اسيوط الوادي'!$P25</f>
        <v>4.2359712230215827</v>
      </c>
      <c r="X34" s="22">
        <f t="shared" ref="X34:X67" si="8">N34/L34</f>
        <v>0</v>
      </c>
      <c r="Y34" s="22">
        <f t="shared" ref="Y34:Y67" si="9">L34/M34</f>
        <v>4.5454545454545456E-2</v>
      </c>
      <c r="Z34" s="26">
        <f t="shared" ref="Z34:Z67" si="10">O34/J34</f>
        <v>1.6867469879518072E-2</v>
      </c>
      <c r="AA34" s="22" t="str">
        <f t="shared" ref="AA34:AA67" ca="1" si="11">IFERROR(DATEDIF(T34,TODAY(),"MD") &amp; "   ","0 ")</f>
        <v xml:space="preserve">7   </v>
      </c>
      <c r="AB34" s="5"/>
      <c r="AC34" s="5"/>
    </row>
    <row r="35" spans="1:29" ht="25.15" customHeight="1" x14ac:dyDescent="0.2">
      <c r="A35" s="5" t="s">
        <v>163</v>
      </c>
      <c r="B35" s="5" t="s">
        <v>38</v>
      </c>
      <c r="C35" s="6" t="s">
        <v>27</v>
      </c>
      <c r="D35" s="40">
        <v>45789</v>
      </c>
      <c r="F35" s="5" t="str">
        <f t="shared" ca="1" si="6"/>
        <v xml:space="preserve">7  m 4  D </v>
      </c>
      <c r="G35" s="5">
        <v>17980</v>
      </c>
      <c r="H35" s="5">
        <v>91340</v>
      </c>
      <c r="I35" s="22">
        <f>الجدول3[[#This Row],[O2]]/الجدول3[[#This Row],[N2]]</f>
        <v>0.19684694547843223</v>
      </c>
      <c r="J35" s="5">
        <v>303</v>
      </c>
      <c r="K35" s="5">
        <v>2539</v>
      </c>
      <c r="L35" s="5">
        <v>2</v>
      </c>
      <c r="M35" s="5">
        <v>19</v>
      </c>
      <c r="N35" s="42">
        <v>0</v>
      </c>
      <c r="O35" s="5">
        <v>5</v>
      </c>
      <c r="P35" s="5">
        <v>288</v>
      </c>
      <c r="Q35" s="5" t="s">
        <v>25</v>
      </c>
      <c r="R35" s="5" t="s">
        <v>90</v>
      </c>
      <c r="S35" s="5" t="s">
        <v>151</v>
      </c>
      <c r="T35" s="43">
        <f t="shared" si="7"/>
        <v>45820</v>
      </c>
      <c r="U35" s="5" t="str" cm="1">
        <f t="array" ref="U35">IFERROR(MID(S35,MATCH(TRUE,ISNUMBER(1*MID(S35,ROW($1:$10),1)),0),COUNT(1*MID(S35,ROW($1:$10),1))),"غير محدد")</f>
        <v>1</v>
      </c>
      <c r="V35" s="32" t="s">
        <v>93</v>
      </c>
      <c r="W35" s="26">
        <f>'اسيوط الوادي'!$K25/'اسيوط الوادي'!$P25</f>
        <v>4.2359712230215827</v>
      </c>
      <c r="X35" s="22">
        <f t="shared" si="8"/>
        <v>0</v>
      </c>
      <c r="Y35" s="22">
        <f t="shared" si="9"/>
        <v>0.10526315789473684</v>
      </c>
      <c r="Z35" s="26">
        <f t="shared" si="10"/>
        <v>1.65016501650165E-2</v>
      </c>
      <c r="AA35" s="22" t="str">
        <f t="shared" ca="1" si="11"/>
        <v xml:space="preserve">4   </v>
      </c>
      <c r="AB35" s="5"/>
      <c r="AC35" s="5"/>
    </row>
    <row r="36" spans="1:29" ht="25.15" customHeight="1" x14ac:dyDescent="0.2">
      <c r="A36" s="5" t="s">
        <v>163</v>
      </c>
      <c r="B36" s="5" t="s">
        <v>38</v>
      </c>
      <c r="C36" s="6" t="s">
        <v>27</v>
      </c>
      <c r="D36" s="40">
        <v>45874</v>
      </c>
      <c r="F36" s="5" t="str">
        <f t="shared" ca="1" si="6"/>
        <v xml:space="preserve">4  m 11  D </v>
      </c>
      <c r="G36" s="5">
        <v>1351</v>
      </c>
      <c r="H36" s="5">
        <v>109443</v>
      </c>
      <c r="I36" s="22">
        <f>الجدول3[[#This Row],[O2]]/الجدول3[[#This Row],[N2]]</f>
        <v>1.234432535657831E-2</v>
      </c>
      <c r="J36" s="5">
        <v>460</v>
      </c>
      <c r="K36" s="5">
        <v>9876</v>
      </c>
      <c r="L36" s="5">
        <v>5</v>
      </c>
      <c r="M36" s="5">
        <v>188</v>
      </c>
      <c r="N36" s="42">
        <v>0</v>
      </c>
      <c r="O36" s="5">
        <v>2</v>
      </c>
      <c r="P36" s="5">
        <v>541</v>
      </c>
      <c r="Q36" s="5" t="s">
        <v>13</v>
      </c>
      <c r="R36" s="5" t="s">
        <v>90</v>
      </c>
      <c r="S36" s="5" t="s">
        <v>151</v>
      </c>
      <c r="T36" s="43">
        <f t="shared" si="7"/>
        <v>45905</v>
      </c>
      <c r="U36" s="5" t="str" cm="1">
        <f t="array" ref="U36">IFERROR(MID(S36,MATCH(TRUE,ISNUMBER(1*MID(S36,ROW($1:$10),1)),0),COUNT(1*MID(S36,ROW($1:$10),1))),"غير محدد")</f>
        <v>1</v>
      </c>
      <c r="V36" s="32" t="s">
        <v>57</v>
      </c>
      <c r="W36" s="26">
        <f>'اسيوط الوادي'!$K26/'اسيوط الوادي'!$P26</f>
        <v>8.4825174825174834</v>
      </c>
      <c r="X36" s="22">
        <f t="shared" si="8"/>
        <v>0</v>
      </c>
      <c r="Y36" s="22">
        <f t="shared" si="9"/>
        <v>2.6595744680851064E-2</v>
      </c>
      <c r="Z36" s="26">
        <f t="shared" si="10"/>
        <v>4.3478260869565218E-3</v>
      </c>
      <c r="AA36" s="22" t="str">
        <f t="shared" ca="1" si="11"/>
        <v xml:space="preserve">11   </v>
      </c>
      <c r="AB36" s="5"/>
      <c r="AC36" s="5"/>
    </row>
    <row r="37" spans="1:29" ht="25.15" customHeight="1" x14ac:dyDescent="0.2">
      <c r="A37" s="5" t="s">
        <v>95</v>
      </c>
      <c r="B37" s="5" t="s">
        <v>15</v>
      </c>
      <c r="C37" s="6" t="s">
        <v>27</v>
      </c>
      <c r="D37" s="40">
        <v>45137</v>
      </c>
      <c r="F37" s="5" t="str">
        <f t="shared" ca="1" si="6"/>
        <v xml:space="preserve">4  m 16  D </v>
      </c>
      <c r="G37" s="5">
        <v>2287</v>
      </c>
      <c r="H37" s="5">
        <v>73299</v>
      </c>
      <c r="I37" s="22">
        <f>الجدول3[[#This Row],[O2]]/الجدول3[[#This Row],[N2]]</f>
        <v>3.120097136386581E-2</v>
      </c>
      <c r="J37" s="5">
        <v>246</v>
      </c>
      <c r="K37" s="5">
        <v>2015</v>
      </c>
      <c r="L37" s="5">
        <v>10</v>
      </c>
      <c r="M37" s="5">
        <v>112</v>
      </c>
      <c r="N37" s="42">
        <v>0</v>
      </c>
      <c r="O37" s="5">
        <v>29</v>
      </c>
      <c r="P37" s="5">
        <v>303</v>
      </c>
      <c r="Q37" s="5" t="s">
        <v>10</v>
      </c>
      <c r="R37" s="5" t="s">
        <v>96</v>
      </c>
      <c r="S37" s="5" t="s">
        <v>12</v>
      </c>
      <c r="T37" s="43" t="str">
        <f t="shared" si="7"/>
        <v>غير محدد</v>
      </c>
      <c r="U37" s="5" t="str" cm="1">
        <f t="array" ref="U37">IFERROR(MID(S37,MATCH(TRUE,ISNUMBER(1*MID(S37,ROW($1:$10),1)),0),COUNT(1*MID(S37,ROW($1:$10),1))),"غير محدد")</f>
        <v>غير محدد</v>
      </c>
      <c r="V37" s="32" t="s">
        <v>93</v>
      </c>
      <c r="W37" s="26">
        <f>'اسيوط الوادي'!$K29/'اسيوط الوادي'!$P29</f>
        <v>6.666666666666667</v>
      </c>
      <c r="X37" s="22">
        <f t="shared" si="8"/>
        <v>0</v>
      </c>
      <c r="Y37" s="22">
        <f t="shared" si="9"/>
        <v>8.9285714285714288E-2</v>
      </c>
      <c r="Z37" s="26">
        <f t="shared" si="10"/>
        <v>0.11788617886178862</v>
      </c>
      <c r="AA37" s="22" t="str">
        <f t="shared" ca="1" si="11"/>
        <v xml:space="preserve">0 </v>
      </c>
      <c r="AB37" s="5"/>
      <c r="AC37" s="5"/>
    </row>
    <row r="38" spans="1:29" ht="25.15" customHeight="1" x14ac:dyDescent="0.2">
      <c r="A38" s="5" t="s">
        <v>95</v>
      </c>
      <c r="B38" s="5" t="s">
        <v>15</v>
      </c>
      <c r="C38" s="6" t="s">
        <v>127</v>
      </c>
      <c r="D38" s="40">
        <v>45236</v>
      </c>
      <c r="F38" s="5" t="str">
        <f t="shared" ca="1" si="6"/>
        <v xml:space="preserve">1  m 10  D </v>
      </c>
      <c r="G38" s="5">
        <v>16684</v>
      </c>
      <c r="H38" s="5">
        <v>192523</v>
      </c>
      <c r="I38" s="22">
        <f>الجدول3[[#This Row],[O2]]/الجدول3[[#This Row],[N2]]</f>
        <v>8.6659775715109369E-2</v>
      </c>
      <c r="J38" s="5">
        <v>264</v>
      </c>
      <c r="K38" s="5">
        <v>5468</v>
      </c>
      <c r="L38" s="5">
        <v>9</v>
      </c>
      <c r="M38" s="5">
        <v>159</v>
      </c>
      <c r="N38" s="42">
        <v>0</v>
      </c>
      <c r="O38" s="5">
        <v>11</v>
      </c>
      <c r="P38" s="5">
        <v>516</v>
      </c>
      <c r="Q38" s="5" t="s">
        <v>25</v>
      </c>
      <c r="R38" s="5" t="s">
        <v>90</v>
      </c>
      <c r="S38" s="5" t="s">
        <v>99</v>
      </c>
      <c r="T38" s="43" t="str">
        <f t="shared" si="7"/>
        <v>غير محدد</v>
      </c>
      <c r="U38" s="5" t="str" cm="1">
        <f t="array" ref="U38">IFERROR(MID(S38,MATCH(TRUE,ISNUMBER(1*MID(S38,ROW($1:$10),1)),0),COUNT(1*MID(S38,ROW($1:$10),1))),"غير محدد")</f>
        <v>غير محدد</v>
      </c>
      <c r="V38" s="32" t="s">
        <v>93</v>
      </c>
      <c r="W38" s="26">
        <f>'اسيوط الوادي'!$K30/'اسيوط الوادي'!$P30</f>
        <v>3.584507042253521</v>
      </c>
      <c r="X38" s="22">
        <f t="shared" si="8"/>
        <v>0</v>
      </c>
      <c r="Y38" s="22">
        <f t="shared" si="9"/>
        <v>5.6603773584905662E-2</v>
      </c>
      <c r="Z38" s="22">
        <f t="shared" si="10"/>
        <v>4.1666666666666664E-2</v>
      </c>
      <c r="AA38" s="22" t="str">
        <f t="shared" ca="1" si="11"/>
        <v xml:space="preserve">0 </v>
      </c>
      <c r="AB38" s="5"/>
      <c r="AC38" s="5"/>
    </row>
    <row r="39" spans="1:29" ht="25.15" customHeight="1" x14ac:dyDescent="0.2">
      <c r="A39" s="5" t="s">
        <v>95</v>
      </c>
      <c r="B39" s="5" t="s">
        <v>15</v>
      </c>
      <c r="C39" s="6" t="s">
        <v>127</v>
      </c>
      <c r="D39" s="40">
        <v>45544</v>
      </c>
      <c r="F39" s="5" t="str">
        <f t="shared" ca="1" si="6"/>
        <v xml:space="preserve">3  m 7  D </v>
      </c>
      <c r="G39" s="5">
        <v>126444</v>
      </c>
      <c r="H39" s="5">
        <v>746774</v>
      </c>
      <c r="I39" s="22">
        <f>الجدول3[[#This Row],[O2]]/الجدول3[[#This Row],[N2]]</f>
        <v>0.16932030306357745</v>
      </c>
      <c r="J39" s="5">
        <v>393</v>
      </c>
      <c r="K39" s="5">
        <v>4833</v>
      </c>
      <c r="L39" s="5">
        <v>3</v>
      </c>
      <c r="M39" s="5">
        <v>101</v>
      </c>
      <c r="N39" s="42">
        <v>0</v>
      </c>
      <c r="O39" s="5">
        <v>20</v>
      </c>
      <c r="P39" s="5">
        <v>574</v>
      </c>
      <c r="Q39" s="5" t="s">
        <v>10</v>
      </c>
      <c r="R39" s="5" t="s">
        <v>90</v>
      </c>
      <c r="S39" s="5" t="s">
        <v>151</v>
      </c>
      <c r="T39" s="43">
        <f t="shared" si="7"/>
        <v>45574</v>
      </c>
      <c r="U39" s="5" t="str" cm="1">
        <f t="array" ref="U39">IFERROR(MID(S39,MATCH(TRUE,ISNUMBER(1*MID(S39,ROW($1:$10),1)),0),COUNT(1*MID(S39,ROW($1:$10),1))),"غير محدد")</f>
        <v>1</v>
      </c>
      <c r="V39" s="32" t="s">
        <v>57</v>
      </c>
      <c r="W39" s="26">
        <f>'اسيوط الوادي'!$K33/'اسيوط الوادي'!$P33</f>
        <v>10.251533742331288</v>
      </c>
      <c r="X39" s="22">
        <f t="shared" si="8"/>
        <v>0</v>
      </c>
      <c r="Y39" s="22">
        <f t="shared" si="9"/>
        <v>2.9702970297029702E-2</v>
      </c>
      <c r="Z39" s="22">
        <f t="shared" si="10"/>
        <v>5.0890585241730277E-2</v>
      </c>
      <c r="AA39" s="22" t="str">
        <f t="shared" ca="1" si="11"/>
        <v xml:space="preserve">7   </v>
      </c>
      <c r="AB39" s="5"/>
      <c r="AC39" s="5"/>
    </row>
    <row r="40" spans="1:29" ht="25.15" customHeight="1" x14ac:dyDescent="0.2">
      <c r="A40" s="5" t="s">
        <v>95</v>
      </c>
      <c r="B40" s="5" t="s">
        <v>24</v>
      </c>
      <c r="C40" s="6" t="s">
        <v>27</v>
      </c>
      <c r="D40" s="40">
        <v>45137</v>
      </c>
      <c r="F40" s="5" t="str">
        <f t="shared" ca="1" si="6"/>
        <v xml:space="preserve">4  m 16  D </v>
      </c>
      <c r="G40" s="5">
        <v>16103</v>
      </c>
      <c r="H40" s="5">
        <v>151265</v>
      </c>
      <c r="I40" s="22">
        <f>الجدول3[[#This Row],[O2]]/الجدول3[[#This Row],[N2]]</f>
        <v>0.1064555581264668</v>
      </c>
      <c r="J40" s="5">
        <v>121</v>
      </c>
      <c r="K40" s="5">
        <v>4041</v>
      </c>
      <c r="L40" s="5">
        <v>13</v>
      </c>
      <c r="M40" s="5">
        <v>22</v>
      </c>
      <c r="N40" s="42">
        <v>0</v>
      </c>
      <c r="O40" s="5">
        <v>17</v>
      </c>
      <c r="P40" s="5">
        <v>632</v>
      </c>
      <c r="Q40" s="5" t="s">
        <v>10</v>
      </c>
      <c r="R40" s="5" t="s">
        <v>96</v>
      </c>
      <c r="S40" s="5" t="s">
        <v>12</v>
      </c>
      <c r="T40" s="43" t="str">
        <f t="shared" si="7"/>
        <v>غير محدد</v>
      </c>
      <c r="U40" s="5" t="str" cm="1">
        <f t="array" ref="U40">IFERROR(MID(S40,MATCH(TRUE,ISNUMBER(1*MID(S40,ROW($1:$10),1)),0),COUNT(1*MID(S40,ROW($1:$10),1))),"غير محدد")</f>
        <v>غير محدد</v>
      </c>
      <c r="V40" s="32" t="s">
        <v>93</v>
      </c>
      <c r="W40" s="26">
        <f>'اسيوط الوادي'!$K34/'اسيوط الوادي'!$P34</f>
        <v>5.2692307692307692</v>
      </c>
      <c r="X40" s="22">
        <f t="shared" si="8"/>
        <v>0</v>
      </c>
      <c r="Y40" s="22">
        <f t="shared" si="9"/>
        <v>0.59090909090909094</v>
      </c>
      <c r="Z40" s="26">
        <f t="shared" si="10"/>
        <v>0.14049586776859505</v>
      </c>
      <c r="AA40" s="22" t="str">
        <f t="shared" ca="1" si="11"/>
        <v xml:space="preserve">0 </v>
      </c>
      <c r="AB40" s="5"/>
      <c r="AC40" s="5"/>
    </row>
    <row r="41" spans="1:29" ht="25.15" customHeight="1" x14ac:dyDescent="0.2">
      <c r="A41" s="5" t="s">
        <v>95</v>
      </c>
      <c r="B41" s="5" t="s">
        <v>24</v>
      </c>
      <c r="C41" s="6" t="s">
        <v>27</v>
      </c>
      <c r="D41" s="40">
        <v>45207</v>
      </c>
      <c r="F41" s="5" t="str">
        <f t="shared" ca="1" si="6"/>
        <v xml:space="preserve">2  m 8  D </v>
      </c>
      <c r="G41" s="5">
        <v>13573</v>
      </c>
      <c r="H41" s="5">
        <v>179560</v>
      </c>
      <c r="I41" s="22">
        <f>الجدول3[[#This Row],[O2]]/الجدول3[[#This Row],[N2]]</f>
        <v>7.5590331922477161E-2</v>
      </c>
      <c r="J41" s="5">
        <v>37</v>
      </c>
      <c r="K41" s="5">
        <v>8376</v>
      </c>
      <c r="L41" s="5">
        <v>8</v>
      </c>
      <c r="M41" s="5">
        <v>4</v>
      </c>
      <c r="N41" s="42">
        <v>0</v>
      </c>
      <c r="O41" s="5">
        <v>1</v>
      </c>
      <c r="P41" s="5">
        <v>595</v>
      </c>
      <c r="Q41" s="5" t="s">
        <v>13</v>
      </c>
      <c r="R41" s="5" t="s">
        <v>90</v>
      </c>
      <c r="S41" s="5" t="s">
        <v>91</v>
      </c>
      <c r="T41" s="43" t="str">
        <f t="shared" si="7"/>
        <v>غير محدد</v>
      </c>
      <c r="U41" s="5" t="str" cm="1">
        <f t="array" ref="U41">IFERROR(MID(S41,MATCH(TRUE,ISNUMBER(1*MID(S41,ROW($1:$10),1)),0),COUNT(1*MID(S41,ROW($1:$10),1))),"غير محدد")</f>
        <v>غير محدد</v>
      </c>
      <c r="V41" s="32" t="s">
        <v>57</v>
      </c>
      <c r="W41" s="26">
        <f>'اسيوط الوادي'!$K37/'اسيوط الوادي'!$P37</f>
        <v>6.6501650165016502</v>
      </c>
      <c r="X41" s="22">
        <f t="shared" si="8"/>
        <v>0</v>
      </c>
      <c r="Y41" s="22">
        <f t="shared" si="9"/>
        <v>2</v>
      </c>
      <c r="Z41" s="26">
        <f t="shared" si="10"/>
        <v>2.7027027027027029E-2</v>
      </c>
      <c r="AA41" s="22" t="str">
        <f t="shared" ca="1" si="11"/>
        <v xml:space="preserve">0 </v>
      </c>
      <c r="AB41" s="5"/>
      <c r="AC41" s="5"/>
    </row>
    <row r="42" spans="1:29" ht="25.15" customHeight="1" x14ac:dyDescent="0.2">
      <c r="A42" s="5" t="s">
        <v>95</v>
      </c>
      <c r="B42" s="5" t="s">
        <v>38</v>
      </c>
      <c r="C42" s="6" t="s">
        <v>27</v>
      </c>
      <c r="D42" s="40">
        <v>45137</v>
      </c>
      <c r="F42" s="5" t="str">
        <f t="shared" ca="1" si="6"/>
        <v xml:space="preserve">4  m 16  D </v>
      </c>
      <c r="G42" s="5">
        <v>4594</v>
      </c>
      <c r="H42" s="5">
        <v>91142</v>
      </c>
      <c r="I42" s="22">
        <f>الجدول3[[#This Row],[O2]]/الجدول3[[#This Row],[N2]]</f>
        <v>5.0404862741655877E-2</v>
      </c>
      <c r="J42" s="5">
        <v>123</v>
      </c>
      <c r="K42" s="5">
        <v>4012</v>
      </c>
      <c r="L42" s="5">
        <v>7</v>
      </c>
      <c r="M42" s="5">
        <v>17</v>
      </c>
      <c r="N42" s="42">
        <v>0</v>
      </c>
      <c r="O42" s="5">
        <v>14</v>
      </c>
      <c r="P42" s="5">
        <v>480</v>
      </c>
      <c r="Q42" s="5" t="s">
        <v>10</v>
      </c>
      <c r="R42" s="5" t="s">
        <v>96</v>
      </c>
      <c r="S42" s="5" t="s">
        <v>12</v>
      </c>
      <c r="T42" s="43" t="str">
        <f t="shared" si="7"/>
        <v>غير محدد</v>
      </c>
      <c r="U42" s="5" t="str" cm="1">
        <f t="array" ref="U42">IFERROR(MID(S42,MATCH(TRUE,ISNUMBER(1*MID(S42,ROW($1:$10),1)),0),COUNT(1*MID(S42,ROW($1:$10),1))),"غير محدد")</f>
        <v>غير محدد</v>
      </c>
      <c r="V42" s="32" t="s">
        <v>93</v>
      </c>
      <c r="W42" s="26">
        <f>'اسيوط الوادي'!$K38/'اسيوط الوادي'!$P38</f>
        <v>10.596899224806201</v>
      </c>
      <c r="X42" s="22">
        <f t="shared" si="8"/>
        <v>0</v>
      </c>
      <c r="Y42" s="22">
        <f t="shared" si="9"/>
        <v>0.41176470588235292</v>
      </c>
      <c r="Z42" s="26">
        <f t="shared" si="10"/>
        <v>0.11382113821138211</v>
      </c>
      <c r="AA42" s="22" t="str">
        <f t="shared" ca="1" si="11"/>
        <v xml:space="preserve">0 </v>
      </c>
      <c r="AB42" s="5"/>
      <c r="AC42" s="5"/>
    </row>
    <row r="43" spans="1:29" ht="25.15" customHeight="1" x14ac:dyDescent="0.2">
      <c r="A43" s="5" t="s">
        <v>95</v>
      </c>
      <c r="B43" s="5" t="s">
        <v>38</v>
      </c>
      <c r="C43" s="6" t="s">
        <v>27</v>
      </c>
      <c r="D43" s="40">
        <v>45907</v>
      </c>
      <c r="F43" s="5" t="str">
        <f t="shared" ca="1" si="6"/>
        <v xml:space="preserve">3  m 9  D </v>
      </c>
      <c r="G43" s="5">
        <v>100452</v>
      </c>
      <c r="H43" s="5">
        <v>672053</v>
      </c>
      <c r="I43" s="22">
        <f>الجدول3[[#This Row],[O2]]/الجدول3[[#This Row],[N2]]</f>
        <v>0.14947035427265409</v>
      </c>
      <c r="J43" s="5">
        <v>22</v>
      </c>
      <c r="K43" s="5">
        <v>7080</v>
      </c>
      <c r="L43" s="5">
        <v>3</v>
      </c>
      <c r="M43" s="5">
        <v>3</v>
      </c>
      <c r="N43" s="42">
        <v>0</v>
      </c>
      <c r="O43" s="5">
        <v>2</v>
      </c>
      <c r="P43" s="5">
        <v>528</v>
      </c>
      <c r="Q43" s="5" t="s">
        <v>13</v>
      </c>
      <c r="R43" s="5" t="s">
        <v>90</v>
      </c>
      <c r="S43" s="5" t="s">
        <v>150</v>
      </c>
      <c r="T43" s="43">
        <f t="shared" ref="T43" si="12">IFERROR(IF(V43&gt;=1,EDATE(D43,U43),"غير محدد"),"غير محدد")</f>
        <v>46088</v>
      </c>
      <c r="U43" s="5" t="str" cm="1">
        <f t="array" ref="U43">IFERROR(MID(S43,MATCH(TRUE,ISNUMBER(1*MID(S43,ROW($1:$10),1)),0),COUNT(1*MID(S43,ROW($1:$10),1))),"غير محدد")</f>
        <v>6</v>
      </c>
      <c r="V43" s="32" t="s">
        <v>57</v>
      </c>
      <c r="W43" s="26">
        <f>'اسيوط الوادي'!$K39/'اسيوط الوادي'!$P39</f>
        <v>8.4198606271776999</v>
      </c>
      <c r="X43" s="22">
        <f t="shared" ref="X43" si="13">N43/L43</f>
        <v>0</v>
      </c>
      <c r="Y43" s="22">
        <f t="shared" ref="Y43" si="14">L43/M43</f>
        <v>1</v>
      </c>
      <c r="Z43" s="26">
        <f t="shared" ref="Z43" si="15">O43/J43</f>
        <v>9.0909090909090912E-2</v>
      </c>
      <c r="AA43" s="22" t="str">
        <f t="shared" ref="AA43" ca="1" si="16">IFERROR(DATEDIF(T43,TODAY(),"MD") &amp; "   ","0 ")</f>
        <v xml:space="preserve">0 </v>
      </c>
      <c r="AB43" s="5"/>
      <c r="AC43" s="5"/>
    </row>
    <row r="44" spans="1:29" ht="25.15" customHeight="1" x14ac:dyDescent="0.2">
      <c r="A44" s="5" t="s">
        <v>95</v>
      </c>
      <c r="B44" s="5" t="s">
        <v>39</v>
      </c>
      <c r="C44" s="6" t="s">
        <v>27</v>
      </c>
      <c r="D44" s="40">
        <v>45137</v>
      </c>
      <c r="F44" s="5" t="str">
        <f t="shared" ca="1" si="6"/>
        <v xml:space="preserve">4  m 16  D </v>
      </c>
      <c r="G44" s="5">
        <v>3516</v>
      </c>
      <c r="H44" s="5">
        <v>85071</v>
      </c>
      <c r="I44" s="22">
        <f>الجدول3[[#This Row],[O2]]/الجدول3[[#This Row],[N2]]</f>
        <v>4.1330183023592058E-2</v>
      </c>
      <c r="J44" s="5">
        <v>271</v>
      </c>
      <c r="K44" s="5">
        <v>2637</v>
      </c>
      <c r="L44" s="5">
        <v>24</v>
      </c>
      <c r="M44" s="5">
        <v>147</v>
      </c>
      <c r="N44" s="42">
        <v>24</v>
      </c>
      <c r="O44" s="5">
        <v>35</v>
      </c>
      <c r="P44" s="5">
        <v>448</v>
      </c>
      <c r="Q44" s="5" t="s">
        <v>10</v>
      </c>
      <c r="R44" s="5" t="s">
        <v>96</v>
      </c>
      <c r="S44" s="5" t="s">
        <v>12</v>
      </c>
      <c r="T44" s="43" t="str">
        <f t="shared" si="7"/>
        <v>غير محدد</v>
      </c>
      <c r="U44" s="5" t="str" cm="1">
        <f t="array" ref="U44">IFERROR(MID(S44,MATCH(TRUE,ISNUMBER(1*MID(S44,ROW($1:$10),1)),0),COUNT(1*MID(S44,ROW($1:$10),1))),"غير محدد")</f>
        <v>غير محدد</v>
      </c>
      <c r="V44" s="32" t="s">
        <v>93</v>
      </c>
      <c r="W44" s="26">
        <f>'اسيوط الوادي'!$K39/'اسيوط الوادي'!$P39</f>
        <v>8.4198606271776999</v>
      </c>
      <c r="X44" s="22">
        <f t="shared" si="8"/>
        <v>1</v>
      </c>
      <c r="Y44" s="22">
        <f t="shared" si="9"/>
        <v>0.16326530612244897</v>
      </c>
      <c r="Z44" s="26">
        <f t="shared" si="10"/>
        <v>0.12915129151291513</v>
      </c>
      <c r="AA44" s="22" t="str">
        <f t="shared" ca="1" si="11"/>
        <v xml:space="preserve">0 </v>
      </c>
      <c r="AB44" s="5"/>
      <c r="AC44" s="5"/>
    </row>
    <row r="45" spans="1:29" ht="25.15" customHeight="1" x14ac:dyDescent="0.2">
      <c r="A45" s="5" t="s">
        <v>95</v>
      </c>
      <c r="B45" s="5" t="s">
        <v>39</v>
      </c>
      <c r="C45" s="6" t="s">
        <v>27</v>
      </c>
      <c r="D45" s="40">
        <v>45207</v>
      </c>
      <c r="F45" s="5" t="str">
        <f t="shared" ca="1" si="6"/>
        <v xml:space="preserve">2  m 8  D </v>
      </c>
      <c r="G45" s="5">
        <v>9844</v>
      </c>
      <c r="H45" s="5">
        <v>53208</v>
      </c>
      <c r="I45" s="22">
        <f>الجدول3[[#This Row],[O2]]/الجدول3[[#This Row],[N2]]</f>
        <v>0.1850097729664712</v>
      </c>
      <c r="J45" s="5">
        <v>26</v>
      </c>
      <c r="K45" s="5">
        <v>1081</v>
      </c>
      <c r="L45" s="5">
        <v>3</v>
      </c>
      <c r="M45" s="5">
        <v>3</v>
      </c>
      <c r="N45" s="42">
        <v>0</v>
      </c>
      <c r="O45" s="5">
        <v>1</v>
      </c>
      <c r="P45" s="5">
        <v>225</v>
      </c>
      <c r="Q45" s="5" t="s">
        <v>21</v>
      </c>
      <c r="R45" s="5" t="s">
        <v>113</v>
      </c>
      <c r="S45" s="5" t="s">
        <v>70</v>
      </c>
      <c r="T45" s="43" t="str">
        <f t="shared" si="7"/>
        <v>غير محدد</v>
      </c>
      <c r="U45" s="5" t="str" cm="1">
        <f t="array" ref="U45">IFERROR(MID(S45,MATCH(TRUE,ISNUMBER(1*MID(S45,ROW($1:$10),1)),0),COUNT(1*MID(S45,ROW($1:$10),1))),"غير محدد")</f>
        <v>غير محدد</v>
      </c>
      <c r="V45" s="32" t="s">
        <v>93</v>
      </c>
      <c r="W45" s="26">
        <f>'اسيوط الوادي'!$K40/'اسيوط الوادي'!$P40</f>
        <v>6.393987341772152</v>
      </c>
      <c r="X45" s="22">
        <f t="shared" si="8"/>
        <v>0</v>
      </c>
      <c r="Y45" s="22">
        <f t="shared" si="9"/>
        <v>1</v>
      </c>
      <c r="Z45" s="26">
        <f t="shared" si="10"/>
        <v>3.8461538461538464E-2</v>
      </c>
      <c r="AA45" s="22" t="str">
        <f t="shared" ca="1" si="11"/>
        <v xml:space="preserve">0 </v>
      </c>
      <c r="AB45" s="5"/>
      <c r="AC45" s="5"/>
    </row>
    <row r="46" spans="1:29" ht="25.15" customHeight="1" x14ac:dyDescent="0.2">
      <c r="A46" s="5" t="s">
        <v>95</v>
      </c>
      <c r="B46" s="5" t="s">
        <v>39</v>
      </c>
      <c r="C46" s="6" t="s">
        <v>27</v>
      </c>
      <c r="D46" s="40">
        <v>45907</v>
      </c>
      <c r="F46" s="5" t="str">
        <f t="shared" ca="1" si="6"/>
        <v xml:space="preserve">3  m 9  D </v>
      </c>
      <c r="G46" s="5">
        <v>19474</v>
      </c>
      <c r="H46" s="5">
        <v>236538</v>
      </c>
      <c r="I46" s="22">
        <f>الجدول3[[#This Row],[O2]]/الجدول3[[#This Row],[N2]]</f>
        <v>8.2329266333527801E-2</v>
      </c>
      <c r="J46" s="5">
        <v>17</v>
      </c>
      <c r="K46" s="5">
        <v>8422</v>
      </c>
      <c r="L46" s="5">
        <v>5</v>
      </c>
      <c r="M46" s="5">
        <v>6</v>
      </c>
      <c r="N46" s="42">
        <v>0</v>
      </c>
      <c r="O46" s="5">
        <v>3</v>
      </c>
      <c r="P46" s="5">
        <v>347</v>
      </c>
      <c r="Q46" s="5" t="s">
        <v>13</v>
      </c>
      <c r="R46" s="5" t="s">
        <v>90</v>
      </c>
      <c r="S46" s="5" t="s">
        <v>150</v>
      </c>
      <c r="T46" s="43">
        <f t="shared" ref="T46" si="17">IFERROR(IF(V46&gt;=1,EDATE(D46,U46),"غير محدد"),"غير محدد")</f>
        <v>46088</v>
      </c>
      <c r="U46" s="5" t="str" cm="1">
        <f t="array" ref="U46">IFERROR(MID(S46,MATCH(TRUE,ISNUMBER(1*MID(S46,ROW($1:$10),1)),0),COUNT(1*MID(S46,ROW($1:$10),1))),"غير محدد")</f>
        <v>6</v>
      </c>
      <c r="V46" s="32" t="s">
        <v>93</v>
      </c>
      <c r="W46" s="26">
        <f>'اسيوط الوادي'!$K41/'اسيوط الوادي'!$P41</f>
        <v>14.077310924369748</v>
      </c>
      <c r="X46" s="22">
        <f t="shared" ref="X46" si="18">N46/L46</f>
        <v>0</v>
      </c>
      <c r="Y46" s="22">
        <f t="shared" ref="Y46" si="19">L46/M46</f>
        <v>0.83333333333333337</v>
      </c>
      <c r="Z46" s="26">
        <f t="shared" ref="Z46" si="20">O46/J46</f>
        <v>0.17647058823529413</v>
      </c>
      <c r="AA46" s="22" t="str">
        <f t="shared" ref="AA46" ca="1" si="21">IFERROR(DATEDIF(T46,TODAY(),"MD") &amp; "   ","0 ")</f>
        <v xml:space="preserve">0 </v>
      </c>
      <c r="AB46" s="5"/>
      <c r="AC46" s="5"/>
    </row>
    <row r="47" spans="1:29" ht="25.15" customHeight="1" x14ac:dyDescent="0.2">
      <c r="A47" s="5" t="s">
        <v>59</v>
      </c>
      <c r="B47" s="5" t="s">
        <v>15</v>
      </c>
      <c r="C47" s="6" t="s">
        <v>16</v>
      </c>
      <c r="D47" s="40">
        <v>43935</v>
      </c>
      <c r="F47" s="5" t="str">
        <f t="shared" ca="1" si="6"/>
        <v xml:space="preserve">8  m 2  D </v>
      </c>
      <c r="G47" s="5">
        <v>23458</v>
      </c>
      <c r="H47" s="5">
        <v>79388</v>
      </c>
      <c r="I47" s="22">
        <f>الجدول3[[#This Row],[O2]]/الجدول3[[#This Row],[N2]]</f>
        <v>0.29548546379805513</v>
      </c>
      <c r="J47" s="5">
        <v>4</v>
      </c>
      <c r="K47" s="5">
        <v>926</v>
      </c>
      <c r="L47" s="5">
        <v>3</v>
      </c>
      <c r="M47" s="5">
        <v>6</v>
      </c>
      <c r="N47" s="42">
        <v>0</v>
      </c>
      <c r="O47" s="5">
        <v>1</v>
      </c>
      <c r="P47" s="5">
        <v>116</v>
      </c>
      <c r="Q47" s="5" t="s">
        <v>21</v>
      </c>
      <c r="S47" s="5" t="s">
        <v>21</v>
      </c>
      <c r="T47" s="43" t="str">
        <f t="shared" si="7"/>
        <v>غير محدد</v>
      </c>
      <c r="U47" s="5" t="str" cm="1">
        <f t="array" ref="U47">IFERROR(MID(S47,MATCH(TRUE,ISNUMBER(1*MID(S47,ROW($1:$10),1)),0),COUNT(1*MID(S47,ROW($1:$10),1))),"غير محدد")</f>
        <v>غير محدد</v>
      </c>
      <c r="V47" s="32" t="s">
        <v>93</v>
      </c>
      <c r="W47" s="26">
        <f>'اسيوط الوادي'!$K41/'اسيوط الوادي'!$P41</f>
        <v>14.077310924369748</v>
      </c>
      <c r="X47" s="22">
        <f t="shared" si="8"/>
        <v>0</v>
      </c>
      <c r="Y47" s="22">
        <f t="shared" si="9"/>
        <v>0.5</v>
      </c>
      <c r="Z47" s="26">
        <f t="shared" si="10"/>
        <v>0.25</v>
      </c>
      <c r="AA47" s="22" t="str">
        <f t="shared" ca="1" si="11"/>
        <v xml:space="preserve">0 </v>
      </c>
      <c r="AB47" s="5"/>
      <c r="AC47" s="5"/>
    </row>
    <row r="48" spans="1:29" ht="25.15" customHeight="1" x14ac:dyDescent="0.2">
      <c r="A48" s="5" t="s">
        <v>59</v>
      </c>
      <c r="B48" s="5" t="s">
        <v>15</v>
      </c>
      <c r="C48" s="6" t="s">
        <v>16</v>
      </c>
      <c r="D48" s="40">
        <v>44290</v>
      </c>
      <c r="F48" s="5" t="str">
        <f t="shared" ca="1" si="6"/>
        <v xml:space="preserve">8  m 12  D </v>
      </c>
      <c r="G48" s="5">
        <v>11558</v>
      </c>
      <c r="H48" s="5">
        <v>83305</v>
      </c>
      <c r="I48" s="22">
        <f>الجدول3[[#This Row],[O2]]/الجدول3[[#This Row],[N2]]</f>
        <v>0.13874317267871075</v>
      </c>
      <c r="J48" s="5">
        <v>6</v>
      </c>
      <c r="K48" s="5">
        <v>5883</v>
      </c>
      <c r="L48" s="5">
        <v>3</v>
      </c>
      <c r="M48" s="5">
        <v>6</v>
      </c>
      <c r="N48" s="42">
        <v>0</v>
      </c>
      <c r="O48" s="5">
        <v>24</v>
      </c>
      <c r="P48" s="5">
        <v>878</v>
      </c>
      <c r="Q48" s="5" t="s">
        <v>25</v>
      </c>
      <c r="R48" s="5">
        <v>2</v>
      </c>
      <c r="S48" s="5" t="s">
        <v>12</v>
      </c>
      <c r="T48" s="43" t="str">
        <f t="shared" si="7"/>
        <v>غير محدد</v>
      </c>
      <c r="U48" s="5" t="str" cm="1">
        <f t="array" ref="U48">IFERROR(MID(S48,MATCH(TRUE,ISNUMBER(1*MID(S48,ROW($1:$10),1)),0),COUNT(1*MID(S48,ROW($1:$10),1))),"غير محدد")</f>
        <v>غير محدد</v>
      </c>
      <c r="V48" s="32" t="s">
        <v>93</v>
      </c>
      <c r="W48" s="26">
        <f>'اسيوط الوادي'!$K42/'اسيوط الوادي'!$P42</f>
        <v>8.3583333333333325</v>
      </c>
      <c r="X48" s="22">
        <f t="shared" si="8"/>
        <v>0</v>
      </c>
      <c r="Y48" s="22">
        <f t="shared" si="9"/>
        <v>0.5</v>
      </c>
      <c r="Z48" s="26">
        <f t="shared" si="10"/>
        <v>4</v>
      </c>
      <c r="AA48" s="22" t="str">
        <f t="shared" ca="1" si="11"/>
        <v xml:space="preserve">0 </v>
      </c>
      <c r="AB48" s="5"/>
      <c r="AC48" s="5"/>
    </row>
    <row r="49" spans="1:29" ht="25.15" customHeight="1" x14ac:dyDescent="0.2">
      <c r="A49" s="5" t="s">
        <v>59</v>
      </c>
      <c r="B49" s="5" t="s">
        <v>15</v>
      </c>
      <c r="C49" s="6" t="s">
        <v>16</v>
      </c>
      <c r="D49" s="40">
        <v>44290</v>
      </c>
      <c r="F49" s="5" t="str">
        <f t="shared" ca="1" si="6"/>
        <v xml:space="preserve">8  m 12  D </v>
      </c>
      <c r="G49" s="5">
        <v>11558</v>
      </c>
      <c r="H49" s="5">
        <v>83305</v>
      </c>
      <c r="I49" s="22">
        <f>الجدول3[[#This Row],[O2]]/الجدول3[[#This Row],[N2]]</f>
        <v>0.13874317267871075</v>
      </c>
      <c r="J49" s="5">
        <v>6</v>
      </c>
      <c r="K49" s="5">
        <v>5883</v>
      </c>
      <c r="L49" s="5">
        <v>3</v>
      </c>
      <c r="M49" s="5">
        <v>24</v>
      </c>
      <c r="N49" s="42">
        <v>6</v>
      </c>
      <c r="O49" s="5">
        <v>0</v>
      </c>
      <c r="P49" s="5">
        <v>878</v>
      </c>
      <c r="Q49" s="5" t="s">
        <v>25</v>
      </c>
      <c r="R49" s="5">
        <v>2</v>
      </c>
      <c r="S49" s="5" t="s">
        <v>12</v>
      </c>
      <c r="T49" s="43" t="str">
        <f t="shared" si="7"/>
        <v>غير محدد</v>
      </c>
      <c r="U49" s="5" t="str" cm="1">
        <f t="array" ref="U49">IFERROR(MID(S49,MATCH(TRUE,ISNUMBER(1*MID(S49,ROW($1:$10),1)),0),COUNT(1*MID(S49,ROW($1:$10),1))),"غير محدد")</f>
        <v>غير محدد</v>
      </c>
      <c r="V49" s="32" t="s">
        <v>93</v>
      </c>
      <c r="W49" s="26">
        <f>'اسيوط الوادي'!$K44/'اسيوط الوادي'!$P44</f>
        <v>5.8861607142857144</v>
      </c>
      <c r="X49" s="22">
        <f t="shared" si="8"/>
        <v>2</v>
      </c>
      <c r="Y49" s="22">
        <f t="shared" si="9"/>
        <v>0.125</v>
      </c>
      <c r="Z49" s="26">
        <f t="shared" si="10"/>
        <v>0</v>
      </c>
      <c r="AA49" s="22" t="str">
        <f t="shared" ca="1" si="11"/>
        <v xml:space="preserve">0 </v>
      </c>
      <c r="AB49" s="5"/>
      <c r="AC49" s="5"/>
    </row>
    <row r="50" spans="1:29" ht="25.15" customHeight="1" x14ac:dyDescent="0.2">
      <c r="A50" s="5" t="s">
        <v>59</v>
      </c>
      <c r="B50" s="5" t="s">
        <v>15</v>
      </c>
      <c r="C50" s="6" t="s">
        <v>16</v>
      </c>
      <c r="D50" s="40">
        <v>44474</v>
      </c>
      <c r="F50" s="5" t="str">
        <f t="shared" ca="1" si="6"/>
        <v xml:space="preserve">2  m 11  D </v>
      </c>
      <c r="G50" s="5">
        <v>1787</v>
      </c>
      <c r="H50" s="5">
        <v>52050</v>
      </c>
      <c r="I50" s="22">
        <f>الجدول3[[#This Row],[O2]]/الجدول3[[#This Row],[N2]]</f>
        <v>3.4332372718539866E-2</v>
      </c>
      <c r="J50" s="5">
        <v>39</v>
      </c>
      <c r="K50" s="5">
        <v>4509</v>
      </c>
      <c r="L50" s="5">
        <v>4</v>
      </c>
      <c r="M50" s="5">
        <v>4</v>
      </c>
      <c r="N50" s="42">
        <v>0</v>
      </c>
      <c r="O50" s="5">
        <v>3</v>
      </c>
      <c r="P50" s="5">
        <v>1061</v>
      </c>
      <c r="Q50" s="5" t="s">
        <v>13</v>
      </c>
      <c r="R50" s="5">
        <v>2</v>
      </c>
      <c r="S50" s="5" t="s">
        <v>12</v>
      </c>
      <c r="T50" s="43" t="str">
        <f t="shared" si="7"/>
        <v>غير محدد</v>
      </c>
      <c r="U50" s="5" t="str" cm="1">
        <f t="array" ref="U50">IFERROR(MID(S50,MATCH(TRUE,ISNUMBER(1*MID(S50,ROW($1:$10),1)),0),COUNT(1*MID(S50,ROW($1:$10),1))),"غير محدد")</f>
        <v>غير محدد</v>
      </c>
      <c r="V50" s="32" t="s">
        <v>93</v>
      </c>
      <c r="W50" s="26">
        <f>'اسيوط الوادي'!$K45/'اسيوط الوادي'!$P45</f>
        <v>4.8044444444444441</v>
      </c>
      <c r="X50" s="22">
        <f t="shared" si="8"/>
        <v>0</v>
      </c>
      <c r="Y50" s="22">
        <f t="shared" si="9"/>
        <v>1</v>
      </c>
      <c r="Z50" s="26">
        <f t="shared" si="10"/>
        <v>7.6923076923076927E-2</v>
      </c>
      <c r="AA50" s="22" t="str">
        <f t="shared" ca="1" si="11"/>
        <v xml:space="preserve">0 </v>
      </c>
      <c r="AB50" s="5"/>
      <c r="AC50" s="5"/>
    </row>
    <row r="51" spans="1:29" ht="25.15" customHeight="1" x14ac:dyDescent="0.2">
      <c r="A51" s="5" t="s">
        <v>59</v>
      </c>
      <c r="B51" s="5" t="s">
        <v>15</v>
      </c>
      <c r="C51" s="6" t="s">
        <v>16</v>
      </c>
      <c r="D51" s="40">
        <v>44474</v>
      </c>
      <c r="F51" s="5" t="str">
        <f t="shared" ca="1" si="6"/>
        <v xml:space="preserve">2  m 11  D </v>
      </c>
      <c r="G51" s="5">
        <v>1787</v>
      </c>
      <c r="H51" s="5">
        <v>52050</v>
      </c>
      <c r="I51" s="22">
        <f>الجدول3[[#This Row],[O2]]/الجدول3[[#This Row],[N2]]</f>
        <v>3.4332372718539866E-2</v>
      </c>
      <c r="J51" s="5">
        <v>39</v>
      </c>
      <c r="K51" s="5">
        <v>4509</v>
      </c>
      <c r="L51" s="5">
        <v>4</v>
      </c>
      <c r="M51" s="5">
        <v>3</v>
      </c>
      <c r="N51" s="42">
        <v>4</v>
      </c>
      <c r="O51" s="5">
        <v>0</v>
      </c>
      <c r="P51" s="5">
        <v>1061</v>
      </c>
      <c r="Q51" s="5" t="s">
        <v>13</v>
      </c>
      <c r="R51" s="5">
        <v>2</v>
      </c>
      <c r="S51" s="5" t="s">
        <v>12</v>
      </c>
      <c r="T51" s="43" t="str">
        <f t="shared" si="7"/>
        <v>غير محدد</v>
      </c>
      <c r="U51" s="5" t="str" cm="1">
        <f t="array" ref="U51">IFERROR(MID(S51,MATCH(TRUE,ISNUMBER(1*MID(S51,ROW($1:$10),1)),0),COUNT(1*MID(S51,ROW($1:$10),1))),"غير محدد")</f>
        <v>غير محدد</v>
      </c>
      <c r="V51" s="32" t="s">
        <v>93</v>
      </c>
      <c r="W51" s="26">
        <f>'اسيوط الوادي'!$K47/'اسيوط الوادي'!$P47</f>
        <v>7.9827586206896548</v>
      </c>
      <c r="X51" s="22">
        <f t="shared" si="8"/>
        <v>1</v>
      </c>
      <c r="Y51" s="22">
        <f t="shared" si="9"/>
        <v>1.3333333333333333</v>
      </c>
      <c r="Z51" s="26">
        <f t="shared" si="10"/>
        <v>0</v>
      </c>
      <c r="AA51" s="22" t="str">
        <f t="shared" ca="1" si="11"/>
        <v xml:space="preserve">0 </v>
      </c>
      <c r="AB51" s="5"/>
      <c r="AC51" s="5"/>
    </row>
    <row r="52" spans="1:29" ht="25.15" customHeight="1" x14ac:dyDescent="0.2">
      <c r="A52" s="5" t="s">
        <v>59</v>
      </c>
      <c r="B52" s="5" t="s">
        <v>15</v>
      </c>
      <c r="C52" s="6" t="s">
        <v>16</v>
      </c>
      <c r="D52" s="40">
        <v>44663</v>
      </c>
      <c r="F52" s="5" t="str">
        <f t="shared" ca="1" si="6"/>
        <v xml:space="preserve">8  m 4  D </v>
      </c>
      <c r="G52" s="5">
        <v>12493</v>
      </c>
      <c r="H52" s="5">
        <v>103371</v>
      </c>
      <c r="I52" s="22">
        <f>الجدول3[[#This Row],[O2]]/الجدول3[[#This Row],[N2]]</f>
        <v>0.12085594605837227</v>
      </c>
      <c r="J52" s="5">
        <v>21</v>
      </c>
      <c r="K52" s="5">
        <v>3892</v>
      </c>
      <c r="L52" s="5">
        <v>2</v>
      </c>
      <c r="M52" s="5">
        <v>3</v>
      </c>
      <c r="N52" s="42">
        <v>0</v>
      </c>
      <c r="O52" s="5">
        <v>1</v>
      </c>
      <c r="P52" s="5">
        <v>1085</v>
      </c>
      <c r="Q52" s="5" t="s">
        <v>13</v>
      </c>
      <c r="R52" s="5">
        <v>2</v>
      </c>
      <c r="S52" s="5" t="s">
        <v>12</v>
      </c>
      <c r="T52" s="43" t="str">
        <f t="shared" si="7"/>
        <v>غير محدد</v>
      </c>
      <c r="U52" s="5" t="str" cm="1">
        <f t="array" ref="U52">IFERROR(MID(S52,MATCH(TRUE,ISNUMBER(1*MID(S52,ROW($1:$10),1)),0),COUNT(1*MID(S52,ROW($1:$10),1))),"غير محدد")</f>
        <v>غير محدد</v>
      </c>
      <c r="V52" s="32" t="s">
        <v>93</v>
      </c>
      <c r="W52" s="26">
        <f>'اسيوط الوادي'!$K48/'اسيوط الوادي'!$P48</f>
        <v>6.7004555808656034</v>
      </c>
      <c r="X52" s="22">
        <f t="shared" si="8"/>
        <v>0</v>
      </c>
      <c r="Y52" s="22">
        <f t="shared" si="9"/>
        <v>0.66666666666666663</v>
      </c>
      <c r="Z52" s="26">
        <f t="shared" si="10"/>
        <v>4.7619047619047616E-2</v>
      </c>
      <c r="AA52" s="22" t="str">
        <f t="shared" ca="1" si="11"/>
        <v xml:space="preserve">0 </v>
      </c>
      <c r="AB52" s="5"/>
      <c r="AC52" s="5"/>
    </row>
    <row r="53" spans="1:29" ht="25.15" customHeight="1" x14ac:dyDescent="0.2">
      <c r="A53" s="5" t="s">
        <v>59</v>
      </c>
      <c r="B53" s="5" t="s">
        <v>15</v>
      </c>
      <c r="C53" s="6" t="s">
        <v>16</v>
      </c>
      <c r="D53" s="40">
        <v>44663</v>
      </c>
      <c r="F53" s="5" t="str">
        <f t="shared" ca="1" si="6"/>
        <v xml:space="preserve">8  m 4  D </v>
      </c>
      <c r="G53" s="5">
        <v>12493</v>
      </c>
      <c r="H53" s="5">
        <v>103371</v>
      </c>
      <c r="I53" s="22">
        <f>الجدول3[[#This Row],[O2]]/الجدول3[[#This Row],[N2]]</f>
        <v>0.12085594605837227</v>
      </c>
      <c r="J53" s="5">
        <v>21</v>
      </c>
      <c r="K53" s="5">
        <v>1085</v>
      </c>
      <c r="L53" s="5">
        <v>2</v>
      </c>
      <c r="M53" s="5">
        <v>1</v>
      </c>
      <c r="N53" s="42">
        <v>3</v>
      </c>
      <c r="O53" s="5">
        <v>0</v>
      </c>
      <c r="P53" s="5">
        <v>1085</v>
      </c>
      <c r="Q53" s="5" t="s">
        <v>13</v>
      </c>
      <c r="R53" s="5">
        <v>2</v>
      </c>
      <c r="S53" s="5" t="s">
        <v>12</v>
      </c>
      <c r="T53" s="43" t="str">
        <f t="shared" si="7"/>
        <v>غير محدد</v>
      </c>
      <c r="U53" s="5" t="str" cm="1">
        <f t="array" ref="U53">IFERROR(MID(S53,MATCH(TRUE,ISNUMBER(1*MID(S53,ROW($1:$10),1)),0),COUNT(1*MID(S53,ROW($1:$10),1))),"غير محدد")</f>
        <v>غير محدد</v>
      </c>
      <c r="V53" s="32" t="s">
        <v>93</v>
      </c>
      <c r="W53" s="26">
        <f>'اسيوط الوادي'!$K49/'اسيوط الوادي'!$P49</f>
        <v>6.7004555808656034</v>
      </c>
      <c r="X53" s="22">
        <f t="shared" si="8"/>
        <v>1.5</v>
      </c>
      <c r="Y53" s="22">
        <f t="shared" si="9"/>
        <v>2</v>
      </c>
      <c r="Z53" s="26">
        <f t="shared" si="10"/>
        <v>0</v>
      </c>
      <c r="AA53" s="22" t="str">
        <f t="shared" ca="1" si="11"/>
        <v xml:space="preserve">0 </v>
      </c>
      <c r="AB53" s="5"/>
      <c r="AC53" s="5"/>
    </row>
    <row r="54" spans="1:29" ht="25.15" customHeight="1" x14ac:dyDescent="0.2">
      <c r="A54" s="5" t="s">
        <v>59</v>
      </c>
      <c r="B54" s="5" t="s">
        <v>15</v>
      </c>
      <c r="C54" s="6" t="s">
        <v>16</v>
      </c>
      <c r="D54" s="40">
        <v>44692</v>
      </c>
      <c r="F54" s="5" t="str">
        <f t="shared" ca="1" si="6"/>
        <v xml:space="preserve">7  m 5  D </v>
      </c>
      <c r="G54" s="5">
        <v>5231</v>
      </c>
      <c r="H54" s="5">
        <v>56760</v>
      </c>
      <c r="I54" s="22">
        <f>الجدول3[[#This Row],[O2]]/الجدول3[[#This Row],[N2]]</f>
        <v>9.2159971811134597E-2</v>
      </c>
      <c r="J54" s="5">
        <v>11</v>
      </c>
      <c r="K54" s="5">
        <v>4404</v>
      </c>
      <c r="L54" s="5">
        <v>4</v>
      </c>
      <c r="M54" s="5">
        <v>3</v>
      </c>
      <c r="N54" s="42">
        <v>0</v>
      </c>
      <c r="O54" s="5">
        <v>1</v>
      </c>
      <c r="P54" s="5">
        <v>311</v>
      </c>
      <c r="Q54" s="5">
        <v>0</v>
      </c>
      <c r="R54" s="5">
        <v>0</v>
      </c>
      <c r="S54" s="5">
        <v>0</v>
      </c>
      <c r="T54" s="43">
        <f t="shared" si="7"/>
        <v>44692</v>
      </c>
      <c r="U54" s="5" t="str" cm="1">
        <f t="array" ref="U54">IFERROR(MID(S54,MATCH(TRUE,ISNUMBER(1*MID(S54,ROW($1:$10),1)),0),COUNT(1*MID(S54,ROW($1:$10),1))),"غير محدد")</f>
        <v>0</v>
      </c>
      <c r="V54" s="32" t="s">
        <v>93</v>
      </c>
      <c r="W54" s="26">
        <f>'اسيوط الوادي'!$K50/'اسيوط الوادي'!$P50</f>
        <v>4.2497643732327992</v>
      </c>
      <c r="X54" s="22">
        <f t="shared" si="8"/>
        <v>0</v>
      </c>
      <c r="Y54" s="22">
        <f t="shared" si="9"/>
        <v>1.3333333333333333</v>
      </c>
      <c r="Z54" s="26">
        <f t="shared" si="10"/>
        <v>9.0909090909090912E-2</v>
      </c>
      <c r="AA54" s="22" t="str">
        <f t="shared" ca="1" si="11"/>
        <v xml:space="preserve">5   </v>
      </c>
      <c r="AB54" s="5"/>
      <c r="AC54" s="5"/>
    </row>
    <row r="55" spans="1:29" ht="25.15" customHeight="1" x14ac:dyDescent="0.2">
      <c r="A55" s="5" t="s">
        <v>59</v>
      </c>
      <c r="B55" s="5" t="s">
        <v>15</v>
      </c>
      <c r="C55" s="6" t="s">
        <v>16</v>
      </c>
      <c r="D55" s="40">
        <v>44871</v>
      </c>
      <c r="F55" s="5" t="str">
        <f t="shared" ca="1" si="6"/>
        <v xml:space="preserve">1  m 10  D </v>
      </c>
      <c r="G55" s="5">
        <v>8628</v>
      </c>
      <c r="H55" s="5">
        <v>43817</v>
      </c>
      <c r="I55" s="22">
        <f>الجدول3[[#This Row],[O2]]/الجدول3[[#This Row],[N2]]</f>
        <v>0.19690987516260813</v>
      </c>
      <c r="J55" s="5">
        <v>34</v>
      </c>
      <c r="K55" s="5">
        <v>3713</v>
      </c>
      <c r="L55" s="5">
        <v>3</v>
      </c>
      <c r="M55" s="5">
        <v>5</v>
      </c>
      <c r="N55" s="42">
        <v>0</v>
      </c>
      <c r="O55" s="5">
        <v>1</v>
      </c>
      <c r="P55" s="5">
        <v>603</v>
      </c>
      <c r="Q55" s="5" t="s">
        <v>21</v>
      </c>
      <c r="R55" s="5">
        <v>1</v>
      </c>
      <c r="S55" s="5" t="s">
        <v>68</v>
      </c>
      <c r="T55" s="43" t="str">
        <f t="shared" si="7"/>
        <v>غير محدد</v>
      </c>
      <c r="U55" s="5" t="str" cm="1">
        <f t="array" ref="U55">IFERROR(MID(S55,MATCH(TRUE,ISNUMBER(1*MID(S55,ROW($1:$10),1)),0),COUNT(1*MID(S55,ROW($1:$10),1))),"غير محدد")</f>
        <v>غير محدد</v>
      </c>
      <c r="V55" s="32" t="s">
        <v>93</v>
      </c>
      <c r="W55" s="26">
        <f>'اسيوط الوادي'!$K51/'اسيوط الوادي'!$P51</f>
        <v>4.2497643732327992</v>
      </c>
      <c r="X55" s="22">
        <f t="shared" si="8"/>
        <v>0</v>
      </c>
      <c r="Y55" s="22">
        <f t="shared" si="9"/>
        <v>0.6</v>
      </c>
      <c r="Z55" s="26">
        <f t="shared" si="10"/>
        <v>2.9411764705882353E-2</v>
      </c>
      <c r="AA55" s="22" t="str">
        <f t="shared" ca="1" si="11"/>
        <v xml:space="preserve">0 </v>
      </c>
      <c r="AB55" s="5"/>
      <c r="AC55" s="5"/>
    </row>
    <row r="56" spans="1:29" ht="25.15" customHeight="1" x14ac:dyDescent="0.2">
      <c r="A56" s="5" t="s">
        <v>59</v>
      </c>
      <c r="B56" s="5" t="s">
        <v>15</v>
      </c>
      <c r="C56" s="6" t="s">
        <v>16</v>
      </c>
      <c r="D56" s="40">
        <v>44871</v>
      </c>
      <c r="F56" s="5" t="str">
        <f t="shared" ca="1" si="6"/>
        <v xml:space="preserve">1  m 10  D </v>
      </c>
      <c r="G56" s="5">
        <v>8628</v>
      </c>
      <c r="H56" s="5">
        <v>43817</v>
      </c>
      <c r="I56" s="22">
        <f>الجدول3[[#This Row],[O2]]/الجدول3[[#This Row],[N2]]</f>
        <v>0.19690987516260813</v>
      </c>
      <c r="J56" s="5">
        <v>34</v>
      </c>
      <c r="K56" s="5">
        <v>3713</v>
      </c>
      <c r="L56" s="5">
        <v>3</v>
      </c>
      <c r="M56" s="5">
        <v>1</v>
      </c>
      <c r="N56" s="42">
        <v>5</v>
      </c>
      <c r="O56" s="5">
        <v>0</v>
      </c>
      <c r="P56" s="5">
        <v>603</v>
      </c>
      <c r="Q56" s="5" t="s">
        <v>21</v>
      </c>
      <c r="R56" s="5">
        <v>1</v>
      </c>
      <c r="S56" s="5" t="s">
        <v>68</v>
      </c>
      <c r="T56" s="43" t="str">
        <f t="shared" si="7"/>
        <v>غير محدد</v>
      </c>
      <c r="U56" s="5" t="str" cm="1">
        <f t="array" ref="U56">IFERROR(MID(S56,MATCH(TRUE,ISNUMBER(1*MID(S56,ROW($1:$10),1)),0),COUNT(1*MID(S56,ROW($1:$10),1))),"غير محدد")</f>
        <v>غير محدد</v>
      </c>
      <c r="V56" s="32" t="s">
        <v>93</v>
      </c>
      <c r="W56" s="26">
        <f>'اسيوط الوادي'!$K52/'اسيوط الوادي'!$P52</f>
        <v>3.5870967741935482</v>
      </c>
      <c r="X56" s="22">
        <f t="shared" si="8"/>
        <v>1.6666666666666667</v>
      </c>
      <c r="Y56" s="22">
        <f t="shared" si="9"/>
        <v>3</v>
      </c>
      <c r="Z56" s="26">
        <f t="shared" si="10"/>
        <v>0</v>
      </c>
      <c r="AA56" s="22" t="str">
        <f t="shared" ca="1" si="11"/>
        <v xml:space="preserve">0 </v>
      </c>
      <c r="AB56" s="5"/>
      <c r="AC56" s="5"/>
    </row>
    <row r="57" spans="1:29" ht="25.15" customHeight="1" x14ac:dyDescent="0.2">
      <c r="A57" s="5" t="s">
        <v>59</v>
      </c>
      <c r="B57" s="5" t="s">
        <v>15</v>
      </c>
      <c r="C57" s="6" t="s">
        <v>16</v>
      </c>
      <c r="D57" s="40">
        <v>45075</v>
      </c>
      <c r="F57" s="5" t="str">
        <f t="shared" ca="1" si="6"/>
        <v xml:space="preserve">6  m 17  D </v>
      </c>
      <c r="G57" s="5">
        <v>4399</v>
      </c>
      <c r="H57" s="5">
        <v>41737</v>
      </c>
      <c r="I57" s="22">
        <f>الجدول3[[#This Row],[O2]]/الجدول3[[#This Row],[N2]]</f>
        <v>0.10539808802740973</v>
      </c>
      <c r="J57" s="5">
        <v>125</v>
      </c>
      <c r="K57" s="5">
        <v>3117</v>
      </c>
      <c r="L57" s="5">
        <v>5</v>
      </c>
      <c r="M57" s="5">
        <v>7</v>
      </c>
      <c r="N57" s="42">
        <v>2</v>
      </c>
      <c r="O57" s="5">
        <v>3</v>
      </c>
      <c r="P57" s="5">
        <v>859</v>
      </c>
      <c r="Q57" s="5" t="s">
        <v>21</v>
      </c>
      <c r="R57" s="5">
        <v>2</v>
      </c>
      <c r="S57" s="5" t="s">
        <v>12</v>
      </c>
      <c r="T57" s="43" t="str">
        <f t="shared" si="7"/>
        <v>غير محدد</v>
      </c>
      <c r="U57" s="5" t="str" cm="1">
        <f t="array" ref="U57">IFERROR(MID(S57,MATCH(TRUE,ISNUMBER(1*MID(S57,ROW($1:$10),1)),0),COUNT(1*MID(S57,ROW($1:$10),1))),"غير محدد")</f>
        <v>غير محدد</v>
      </c>
      <c r="V57" s="32" t="s">
        <v>93</v>
      </c>
      <c r="W57" s="26">
        <f>'اسيوط الوادي'!$K53/'اسيوط الوادي'!$P53</f>
        <v>1</v>
      </c>
      <c r="X57" s="22">
        <f t="shared" si="8"/>
        <v>0.4</v>
      </c>
      <c r="Y57" s="22">
        <f t="shared" si="9"/>
        <v>0.7142857142857143</v>
      </c>
      <c r="Z57" s="26">
        <f t="shared" si="10"/>
        <v>2.4E-2</v>
      </c>
      <c r="AA57" s="22" t="str">
        <f t="shared" ca="1" si="11"/>
        <v xml:space="preserve">0 </v>
      </c>
      <c r="AB57" s="5"/>
      <c r="AC57" s="5"/>
    </row>
    <row r="58" spans="1:29" ht="25.15" customHeight="1" x14ac:dyDescent="0.2">
      <c r="A58" s="5" t="s">
        <v>59</v>
      </c>
      <c r="B58" s="5" t="s">
        <v>15</v>
      </c>
      <c r="C58" s="6" t="s">
        <v>16</v>
      </c>
      <c r="D58" s="40">
        <v>45090</v>
      </c>
      <c r="F58" s="5" t="str">
        <f t="shared" ca="1" si="6"/>
        <v xml:space="preserve">6  m 3  D </v>
      </c>
      <c r="G58" s="5">
        <v>7109</v>
      </c>
      <c r="H58" s="5">
        <v>65333</v>
      </c>
      <c r="I58" s="22">
        <f>الجدول3[[#This Row],[O2]]/الجدول3[[#This Row],[N2]]</f>
        <v>0.108811779651937</v>
      </c>
      <c r="J58" s="5">
        <v>152</v>
      </c>
      <c r="K58" s="5">
        <v>5578</v>
      </c>
      <c r="L58" s="5">
        <v>1</v>
      </c>
      <c r="M58" s="5">
        <v>5</v>
      </c>
      <c r="N58" s="42">
        <v>0</v>
      </c>
      <c r="O58" s="5">
        <v>2</v>
      </c>
      <c r="P58" s="5">
        <v>893</v>
      </c>
      <c r="Q58" s="5" t="s">
        <v>25</v>
      </c>
      <c r="R58" s="5">
        <v>2</v>
      </c>
      <c r="S58" s="5" t="s">
        <v>72</v>
      </c>
      <c r="T58" s="43" t="str">
        <f t="shared" si="7"/>
        <v>غير محدد</v>
      </c>
      <c r="U58" s="5" t="str" cm="1">
        <f t="array" ref="U58">IFERROR(MID(S58,MATCH(TRUE,ISNUMBER(1*MID(S58,ROW($1:$10),1)),0),COUNT(1*MID(S58,ROW($1:$10),1))),"غير محدد")</f>
        <v>غير محدد</v>
      </c>
      <c r="V58" s="32" t="s">
        <v>93</v>
      </c>
      <c r="W58" s="26">
        <f>'اسيوط الوادي'!$K54/'اسيوط الوادي'!$P54</f>
        <v>14.160771704180064</v>
      </c>
      <c r="X58" s="22">
        <f t="shared" si="8"/>
        <v>0</v>
      </c>
      <c r="Y58" s="22">
        <f t="shared" si="9"/>
        <v>0.2</v>
      </c>
      <c r="Z58" s="26">
        <f t="shared" si="10"/>
        <v>1.3157894736842105E-2</v>
      </c>
      <c r="AA58" s="22" t="str">
        <f t="shared" ca="1" si="11"/>
        <v xml:space="preserve">0 </v>
      </c>
      <c r="AB58" s="5"/>
      <c r="AC58" s="5"/>
    </row>
    <row r="59" spans="1:29" ht="25.15" customHeight="1" x14ac:dyDescent="0.2">
      <c r="A59" s="5" t="s">
        <v>59</v>
      </c>
      <c r="B59" s="5" t="s">
        <v>15</v>
      </c>
      <c r="C59" s="6" t="s">
        <v>16</v>
      </c>
      <c r="D59" s="40">
        <v>45176</v>
      </c>
      <c r="F59" s="5" t="str">
        <f t="shared" ca="1" si="6"/>
        <v xml:space="preserve">3  m 9  D </v>
      </c>
      <c r="G59" s="5">
        <v>7109</v>
      </c>
      <c r="H59" s="5">
        <v>65333</v>
      </c>
      <c r="I59" s="22">
        <f>الجدول3[[#This Row],[O2]]/الجدول3[[#This Row],[N2]]</f>
        <v>0.108811779651937</v>
      </c>
      <c r="J59" s="5">
        <v>28</v>
      </c>
      <c r="K59" s="5">
        <v>3532</v>
      </c>
      <c r="L59" s="5">
        <v>2</v>
      </c>
      <c r="M59" s="5">
        <v>4</v>
      </c>
      <c r="N59" s="42">
        <v>0</v>
      </c>
      <c r="O59" s="5">
        <v>4</v>
      </c>
      <c r="P59" s="5">
        <v>622</v>
      </c>
      <c r="Q59" s="5" t="s">
        <v>70</v>
      </c>
      <c r="R59" s="5" t="s">
        <v>113</v>
      </c>
      <c r="S59" s="5" t="s">
        <v>21</v>
      </c>
      <c r="T59" s="43" t="str">
        <f t="shared" si="7"/>
        <v>غير محدد</v>
      </c>
      <c r="U59" s="5" t="str" cm="1">
        <f t="array" ref="U59">IFERROR(MID(S59,MATCH(TRUE,ISNUMBER(1*MID(S59,ROW($1:$10),1)),0),COUNT(1*MID(S59,ROW($1:$10),1))),"غير محدد")</f>
        <v>غير محدد</v>
      </c>
      <c r="V59" s="32" t="s">
        <v>93</v>
      </c>
      <c r="W59" s="26">
        <f>'اسيوط الوادي'!$K55/'اسيوط الوادي'!$P55</f>
        <v>6.1575456053067992</v>
      </c>
      <c r="X59" s="22">
        <f t="shared" si="8"/>
        <v>0</v>
      </c>
      <c r="Y59" s="22">
        <f t="shared" si="9"/>
        <v>0.5</v>
      </c>
      <c r="Z59" s="26">
        <f t="shared" si="10"/>
        <v>0.14285714285714285</v>
      </c>
      <c r="AA59" s="22" t="str">
        <f t="shared" ca="1" si="11"/>
        <v xml:space="preserve">0 </v>
      </c>
      <c r="AB59" s="5"/>
      <c r="AC59" s="5"/>
    </row>
    <row r="60" spans="1:29" ht="25.15" customHeight="1" x14ac:dyDescent="0.2">
      <c r="A60" s="5" t="s">
        <v>59</v>
      </c>
      <c r="B60" s="5" t="s">
        <v>24</v>
      </c>
      <c r="C60" s="6" t="s">
        <v>16</v>
      </c>
      <c r="D60" s="40">
        <v>45874</v>
      </c>
      <c r="F60" s="5" t="str">
        <f t="shared" ca="1" si="6"/>
        <v xml:space="preserve">4  m 11  D </v>
      </c>
      <c r="G60" s="5">
        <v>1475</v>
      </c>
      <c r="H60" s="5">
        <v>123703</v>
      </c>
      <c r="I60" s="22">
        <f>الجدول3[[#This Row],[O2]]/الجدول3[[#This Row],[N2]]</f>
        <v>1.192372052415867E-2</v>
      </c>
      <c r="J60" s="5">
        <v>14</v>
      </c>
      <c r="K60" s="5">
        <v>11513</v>
      </c>
      <c r="L60" s="5">
        <v>2</v>
      </c>
      <c r="M60" s="5">
        <v>7</v>
      </c>
      <c r="N60" s="42">
        <v>0</v>
      </c>
      <c r="O60" s="5">
        <v>4</v>
      </c>
      <c r="P60" s="5">
        <v>1175</v>
      </c>
      <c r="Q60" s="5" t="s">
        <v>25</v>
      </c>
      <c r="R60" s="5" t="s">
        <v>90</v>
      </c>
      <c r="S60" s="5" t="s">
        <v>150</v>
      </c>
      <c r="T60" s="43">
        <f t="shared" si="7"/>
        <v>46058</v>
      </c>
      <c r="U60" s="5" t="str" cm="1">
        <f t="array" ref="U60">IFERROR(MID(S60,MATCH(TRUE,ISNUMBER(1*MID(S60,ROW($1:$10),1)),0),COUNT(1*MID(S60,ROW($1:$10),1))),"غير محدد")</f>
        <v>6</v>
      </c>
      <c r="V60" s="32" t="s">
        <v>57</v>
      </c>
      <c r="W60" s="26">
        <f>'اسيوط الوادي'!$K56/'اسيوط الوادي'!$P56</f>
        <v>6.1575456053067992</v>
      </c>
      <c r="X60" s="22">
        <f t="shared" si="8"/>
        <v>0</v>
      </c>
      <c r="Y60" s="22">
        <f t="shared" si="9"/>
        <v>0.2857142857142857</v>
      </c>
      <c r="Z60" s="26">
        <f t="shared" si="10"/>
        <v>0.2857142857142857</v>
      </c>
      <c r="AA60" s="22" t="str">
        <f t="shared" ca="1" si="11"/>
        <v xml:space="preserve">0 </v>
      </c>
      <c r="AB60" s="5"/>
      <c r="AC60" s="5"/>
    </row>
    <row r="61" spans="1:29" ht="25.15" customHeight="1" x14ac:dyDescent="0.2">
      <c r="A61" s="5" t="s">
        <v>59</v>
      </c>
      <c r="B61" s="5" t="s">
        <v>213</v>
      </c>
      <c r="C61" s="6" t="s">
        <v>16</v>
      </c>
      <c r="D61" s="40">
        <v>45874</v>
      </c>
      <c r="F61" s="5" t="str">
        <f t="shared" ca="1" si="6"/>
        <v xml:space="preserve">4  m 11  D </v>
      </c>
      <c r="G61" s="5">
        <v>6131</v>
      </c>
      <c r="H61" s="5">
        <v>137798</v>
      </c>
      <c r="I61" s="22">
        <f>الجدول3[[#This Row],[O2]]/الجدول3[[#This Row],[N2]]</f>
        <v>4.4492663173630966E-2</v>
      </c>
      <c r="J61" s="5">
        <v>13</v>
      </c>
      <c r="K61" s="5">
        <v>15258</v>
      </c>
      <c r="L61" s="5">
        <v>80</v>
      </c>
      <c r="M61" s="5">
        <v>22</v>
      </c>
      <c r="N61" s="42">
        <v>0</v>
      </c>
      <c r="O61" s="5">
        <v>10</v>
      </c>
      <c r="P61" s="5">
        <v>1253</v>
      </c>
      <c r="Q61" s="5" t="s">
        <v>13</v>
      </c>
      <c r="R61" s="5" t="s">
        <v>90</v>
      </c>
      <c r="S61" s="5" t="s">
        <v>150</v>
      </c>
      <c r="T61" s="43">
        <f t="shared" si="7"/>
        <v>46058</v>
      </c>
      <c r="U61" s="5" t="str" cm="1">
        <f t="array" ref="U61">IFERROR(MID(S61,MATCH(TRUE,ISNUMBER(1*MID(S61,ROW($1:$10),1)),0),COUNT(1*MID(S61,ROW($1:$10),1))),"غير محدد")</f>
        <v>6</v>
      </c>
      <c r="V61" s="32" t="s">
        <v>57</v>
      </c>
      <c r="W61" s="26">
        <f>'اسيوط الوادي'!$K57/'اسيوط الوادي'!$P57</f>
        <v>3.628637951105937</v>
      </c>
      <c r="X61" s="22">
        <f t="shared" si="8"/>
        <v>0</v>
      </c>
      <c r="Y61" s="22">
        <f t="shared" si="9"/>
        <v>3.6363636363636362</v>
      </c>
      <c r="Z61" s="26">
        <f t="shared" si="10"/>
        <v>0.76923076923076927</v>
      </c>
      <c r="AA61" s="22" t="str">
        <f t="shared" ca="1" si="11"/>
        <v xml:space="preserve">0 </v>
      </c>
      <c r="AB61" s="5"/>
      <c r="AC61" s="5"/>
    </row>
    <row r="62" spans="1:29" ht="25.15" customHeight="1" x14ac:dyDescent="0.2">
      <c r="A62" s="5" t="s">
        <v>59</v>
      </c>
      <c r="B62" s="5" t="s">
        <v>60</v>
      </c>
      <c r="C62" s="6">
        <v>500</v>
      </c>
      <c r="D62" s="40">
        <v>45021</v>
      </c>
      <c r="F62" s="5" t="str">
        <f t="shared" ca="1" si="6"/>
        <v xml:space="preserve">8  m 11  D </v>
      </c>
      <c r="G62" s="5">
        <v>6307</v>
      </c>
      <c r="H62" s="5">
        <v>67557</v>
      </c>
      <c r="I62" s="22">
        <f>الجدول3[[#This Row],[O2]]/الجدول3[[#This Row],[N2]]</f>
        <v>9.335820122267123E-2</v>
      </c>
      <c r="J62" s="5">
        <v>19</v>
      </c>
      <c r="K62" s="5">
        <v>2988</v>
      </c>
      <c r="L62" s="5">
        <v>2</v>
      </c>
      <c r="M62" s="5">
        <v>3</v>
      </c>
      <c r="N62" s="42">
        <v>0</v>
      </c>
      <c r="O62" s="5">
        <v>5</v>
      </c>
      <c r="P62" s="5">
        <v>1199</v>
      </c>
      <c r="Q62" s="5" t="s">
        <v>25</v>
      </c>
      <c r="R62" s="5">
        <v>2</v>
      </c>
      <c r="S62" s="5" t="s">
        <v>12</v>
      </c>
      <c r="T62" s="43" t="str">
        <f t="shared" si="7"/>
        <v>غير محدد</v>
      </c>
      <c r="U62" s="5" t="str" cm="1">
        <f t="array" ref="U62">IFERROR(MID(S62,MATCH(TRUE,ISNUMBER(1*MID(S62,ROW($1:$10),1)),0),COUNT(1*MID(S62,ROW($1:$10),1))),"غير محدد")</f>
        <v>غير محدد</v>
      </c>
      <c r="V62" s="32" t="s">
        <v>93</v>
      </c>
      <c r="W62" s="26">
        <f>'اسيوط الوادي'!$K56/'اسيوط الوادي'!$P56</f>
        <v>6.1575456053067992</v>
      </c>
      <c r="X62" s="22">
        <f t="shared" si="8"/>
        <v>0</v>
      </c>
      <c r="Y62" s="22">
        <f t="shared" si="9"/>
        <v>0.66666666666666663</v>
      </c>
      <c r="Z62" s="26">
        <f t="shared" si="10"/>
        <v>0.26315789473684209</v>
      </c>
      <c r="AA62" s="22" t="str">
        <f t="shared" ca="1" si="11"/>
        <v xml:space="preserve">0 </v>
      </c>
      <c r="AB62" s="5"/>
      <c r="AC62" s="5"/>
    </row>
    <row r="63" spans="1:29" ht="25.15" customHeight="1" x14ac:dyDescent="0.2">
      <c r="A63" s="5" t="s">
        <v>59</v>
      </c>
      <c r="B63" s="5" t="s">
        <v>60</v>
      </c>
      <c r="C63" s="6">
        <v>500</v>
      </c>
      <c r="D63" s="40">
        <v>45271</v>
      </c>
      <c r="F63" s="5" t="str">
        <f t="shared" ca="1" si="6"/>
        <v xml:space="preserve">0  m 5  D </v>
      </c>
      <c r="G63" s="5">
        <v>6099</v>
      </c>
      <c r="H63" s="5">
        <v>46552</v>
      </c>
      <c r="I63" s="22">
        <f>الجدول3[[#This Row],[O2]]/الجدول3[[#This Row],[N2]]</f>
        <v>0.13101477917167897</v>
      </c>
      <c r="J63" s="5">
        <v>11</v>
      </c>
      <c r="K63" s="5">
        <v>5889</v>
      </c>
      <c r="L63" s="5">
        <v>3</v>
      </c>
      <c r="M63" s="5">
        <v>2</v>
      </c>
      <c r="N63" s="42">
        <v>0</v>
      </c>
      <c r="O63" s="5">
        <v>1</v>
      </c>
      <c r="P63" s="5">
        <v>1570</v>
      </c>
      <c r="Q63" s="5" t="s">
        <v>13</v>
      </c>
      <c r="R63" s="5" t="s">
        <v>90</v>
      </c>
      <c r="S63" s="5" t="s">
        <v>99</v>
      </c>
      <c r="T63" s="43" t="str">
        <f t="shared" si="7"/>
        <v>غير محدد</v>
      </c>
      <c r="U63" s="5" t="str" cm="1">
        <f t="array" ref="U63">IFERROR(MID(S63,MATCH(TRUE,ISNUMBER(1*MID(S63,ROW($1:$10),1)),0),COUNT(1*MID(S63,ROW($1:$10),1))),"غير محدد")</f>
        <v>غير محدد</v>
      </c>
      <c r="V63" s="32" t="s">
        <v>93</v>
      </c>
      <c r="W63" s="26">
        <f>'اسيوط الوادي'!$K57/'اسيوط الوادي'!$P57</f>
        <v>3.628637951105937</v>
      </c>
      <c r="X63" s="22">
        <f t="shared" si="8"/>
        <v>0</v>
      </c>
      <c r="Y63" s="22">
        <f t="shared" si="9"/>
        <v>1.5</v>
      </c>
      <c r="Z63" s="26">
        <f t="shared" si="10"/>
        <v>9.0909090909090912E-2</v>
      </c>
      <c r="AA63" s="22" t="str">
        <f t="shared" ca="1" si="11"/>
        <v xml:space="preserve">0 </v>
      </c>
      <c r="AB63" s="5"/>
      <c r="AC63" s="5"/>
    </row>
    <row r="64" spans="1:29" ht="25.15" customHeight="1" x14ac:dyDescent="0.2">
      <c r="A64" s="5" t="s">
        <v>59</v>
      </c>
      <c r="B64" s="5" t="s">
        <v>60</v>
      </c>
      <c r="C64" s="6">
        <v>500</v>
      </c>
      <c r="D64" s="40">
        <v>45406</v>
      </c>
      <c r="F64" s="5" t="str">
        <f t="shared" ca="1" si="6"/>
        <v xml:space="preserve">7  m 22  D </v>
      </c>
      <c r="G64" s="5">
        <v>16575</v>
      </c>
      <c r="H64" s="5">
        <v>27313</v>
      </c>
      <c r="I64" s="22">
        <f>الجدول3[[#This Row],[O2]]/الجدول3[[#This Row],[N2]]</f>
        <v>0.60685387910518795</v>
      </c>
      <c r="J64" s="5">
        <v>19</v>
      </c>
      <c r="K64" s="5">
        <v>3567</v>
      </c>
      <c r="L64" s="5">
        <v>3</v>
      </c>
      <c r="M64" s="5">
        <v>3</v>
      </c>
      <c r="N64" s="42">
        <v>0</v>
      </c>
      <c r="O64" s="5">
        <v>1</v>
      </c>
      <c r="P64" s="5">
        <v>942</v>
      </c>
      <c r="Q64" s="5" t="s">
        <v>10</v>
      </c>
      <c r="R64" s="5" t="s">
        <v>90</v>
      </c>
      <c r="S64" s="5" t="s">
        <v>172</v>
      </c>
      <c r="T64" s="43">
        <f t="shared" si="7"/>
        <v>45497</v>
      </c>
      <c r="U64" s="5" t="str" cm="1">
        <f t="array" ref="U64">IFERROR(MID(S64,MATCH(TRUE,ISNUMBER(1*MID(S64,ROW($1:$10),1)),0),COUNT(1*MID(S64,ROW($1:$10),1))),"غير محدد")</f>
        <v>3</v>
      </c>
      <c r="V64" s="32" t="s">
        <v>93</v>
      </c>
      <c r="W64" s="26">
        <f>'اسيوط الوادي'!$K58/'اسيوط الوادي'!$P58</f>
        <v>6.2463605823068313</v>
      </c>
      <c r="X64" s="22">
        <f t="shared" si="8"/>
        <v>0</v>
      </c>
      <c r="Y64" s="22">
        <f t="shared" si="9"/>
        <v>1</v>
      </c>
      <c r="Z64" s="26">
        <f t="shared" si="10"/>
        <v>5.2631578947368418E-2</v>
      </c>
      <c r="AA64" s="22" t="str">
        <f t="shared" ca="1" si="11"/>
        <v xml:space="preserve">22   </v>
      </c>
      <c r="AB64" s="5"/>
      <c r="AC64" s="5"/>
    </row>
    <row r="65" spans="1:29" ht="25.15" customHeight="1" x14ac:dyDescent="0.2">
      <c r="A65" s="5" t="s">
        <v>59</v>
      </c>
      <c r="B65" s="5" t="s">
        <v>60</v>
      </c>
      <c r="C65" s="6">
        <v>500</v>
      </c>
      <c r="D65" s="40">
        <v>45763</v>
      </c>
      <c r="F65" s="5" t="str">
        <f t="shared" ca="1" si="6"/>
        <v xml:space="preserve">8  m 0  D </v>
      </c>
      <c r="G65" s="5">
        <v>7997</v>
      </c>
      <c r="H65" s="5">
        <v>46237</v>
      </c>
      <c r="I65" s="22">
        <f>الجدول3[[#This Row],[O2]]/الجدول3[[#This Row],[N2]]</f>
        <v>0.17295672297078096</v>
      </c>
      <c r="J65" s="5">
        <v>15</v>
      </c>
      <c r="K65" s="5">
        <v>4020</v>
      </c>
      <c r="L65" s="5">
        <v>2</v>
      </c>
      <c r="M65" s="5">
        <v>2</v>
      </c>
      <c r="N65" s="42">
        <v>0</v>
      </c>
      <c r="O65" s="5">
        <v>3</v>
      </c>
      <c r="P65" s="5">
        <v>1211</v>
      </c>
      <c r="Q65" s="5" t="s">
        <v>25</v>
      </c>
      <c r="R65" s="5" t="s">
        <v>90</v>
      </c>
      <c r="S65" s="5" t="s">
        <v>150</v>
      </c>
      <c r="T65" s="43">
        <f t="shared" si="7"/>
        <v>45946</v>
      </c>
      <c r="U65" s="5" t="str" cm="1">
        <f t="array" ref="U65">IFERROR(MID(S65,MATCH(TRUE,ISNUMBER(1*MID(S65,ROW($1:$10),1)),0),COUNT(1*MID(S65,ROW($1:$10),1))),"غير محدد")</f>
        <v>6</v>
      </c>
      <c r="V65" s="32" t="s">
        <v>57</v>
      </c>
      <c r="W65" s="26">
        <f>'اسيوط الوادي'!$K59/'اسيوط الوادي'!$P59</f>
        <v>5.678456591639871</v>
      </c>
      <c r="X65" s="22">
        <f t="shared" si="8"/>
        <v>0</v>
      </c>
      <c r="Y65" s="22">
        <f t="shared" si="9"/>
        <v>1</v>
      </c>
      <c r="Z65" s="26">
        <f t="shared" si="10"/>
        <v>0.2</v>
      </c>
      <c r="AA65" s="22" t="str">
        <f t="shared" ca="1" si="11"/>
        <v xml:space="preserve">0   </v>
      </c>
      <c r="AB65" s="5"/>
      <c r="AC65" s="5"/>
    </row>
    <row r="66" spans="1:29" ht="25.15" customHeight="1" x14ac:dyDescent="0.2">
      <c r="A66" s="5" t="s">
        <v>59</v>
      </c>
      <c r="B66" s="5" t="s">
        <v>62</v>
      </c>
      <c r="C66" s="6">
        <v>500</v>
      </c>
      <c r="D66" s="40">
        <v>45021</v>
      </c>
      <c r="F66" s="5" t="str">
        <f t="shared" ca="1" si="6"/>
        <v xml:space="preserve">8  m 11  D </v>
      </c>
      <c r="G66" s="5">
        <v>4449</v>
      </c>
      <c r="H66" s="5">
        <v>52361</v>
      </c>
      <c r="I66" s="22">
        <f>الجدول3[[#This Row],[O2]]/الجدول3[[#This Row],[N2]]</f>
        <v>8.4967819560359814E-2</v>
      </c>
      <c r="J66" s="5">
        <v>22</v>
      </c>
      <c r="K66" s="5">
        <v>3342</v>
      </c>
      <c r="L66" s="5">
        <v>5</v>
      </c>
      <c r="M66" s="5">
        <v>4</v>
      </c>
      <c r="N66" s="42">
        <v>0</v>
      </c>
      <c r="O66" s="5">
        <v>9</v>
      </c>
      <c r="P66" s="5">
        <v>1026</v>
      </c>
      <c r="Q66" s="5" t="s">
        <v>25</v>
      </c>
      <c r="R66" s="5">
        <v>2</v>
      </c>
      <c r="S66" s="5" t="s">
        <v>12</v>
      </c>
      <c r="T66" s="43" t="str">
        <f t="shared" si="7"/>
        <v>غير محدد</v>
      </c>
      <c r="U66" s="5" t="str" cm="1">
        <f t="array" ref="U66">IFERROR(MID(S66,MATCH(TRUE,ISNUMBER(1*MID(S66,ROW($1:$10),1)),0),COUNT(1*MID(S66,ROW($1:$10),1))),"غير محدد")</f>
        <v>غير محدد</v>
      </c>
      <c r="V66" s="32" t="s">
        <v>93</v>
      </c>
      <c r="W66" s="26">
        <f>'اسيوط الوادي'!$K59/'اسيوط الوادي'!$P59</f>
        <v>5.678456591639871</v>
      </c>
      <c r="X66" s="22">
        <f t="shared" si="8"/>
        <v>0</v>
      </c>
      <c r="Y66" s="22">
        <f t="shared" si="9"/>
        <v>1.25</v>
      </c>
      <c r="Z66" s="26">
        <f t="shared" si="10"/>
        <v>0.40909090909090912</v>
      </c>
      <c r="AA66" s="22" t="str">
        <f t="shared" ca="1" si="11"/>
        <v xml:space="preserve">0 </v>
      </c>
      <c r="AB66" s="5"/>
      <c r="AC66" s="5"/>
    </row>
    <row r="67" spans="1:29" ht="25.15" customHeight="1" x14ac:dyDescent="0.2">
      <c r="A67" s="5" t="s">
        <v>59</v>
      </c>
      <c r="B67" s="5" t="s">
        <v>62</v>
      </c>
      <c r="C67" s="6">
        <v>500</v>
      </c>
      <c r="D67" s="40">
        <v>45271</v>
      </c>
      <c r="F67" s="5" t="str">
        <f t="shared" ca="1" si="6"/>
        <v xml:space="preserve">0  m 5  D </v>
      </c>
      <c r="G67" s="5">
        <v>8649</v>
      </c>
      <c r="H67" s="5">
        <v>64181</v>
      </c>
      <c r="I67" s="22">
        <f>الجدول3[[#This Row],[O2]]/الجدول3[[#This Row],[N2]]</f>
        <v>0.13475950826568611</v>
      </c>
      <c r="J67" s="5">
        <v>9</v>
      </c>
      <c r="K67" s="5">
        <v>5649</v>
      </c>
      <c r="L67" s="5">
        <v>2</v>
      </c>
      <c r="M67" s="5">
        <v>2</v>
      </c>
      <c r="N67" s="42">
        <v>0</v>
      </c>
      <c r="O67" s="5">
        <v>1</v>
      </c>
      <c r="P67" s="5">
        <v>1963</v>
      </c>
      <c r="Q67" s="5" t="s">
        <v>13</v>
      </c>
      <c r="R67" s="5" t="s">
        <v>90</v>
      </c>
      <c r="S67" s="5" t="s">
        <v>99</v>
      </c>
      <c r="T67" s="43" t="str">
        <f t="shared" si="7"/>
        <v>غير محدد</v>
      </c>
      <c r="U67" s="5" t="str" cm="1">
        <f t="array" ref="U67">IFERROR(MID(S67,MATCH(TRUE,ISNUMBER(1*MID(S67,ROW($1:$10),1)),0),COUNT(1*MID(S67,ROW($1:$10),1))),"غير محدد")</f>
        <v>غير محدد</v>
      </c>
      <c r="V67" s="32" t="s">
        <v>93</v>
      </c>
      <c r="W67" s="26">
        <f>'اسيوط الوادي'!$K62/'اسيوط الوادي'!$P62</f>
        <v>2.4920767306088405</v>
      </c>
      <c r="X67" s="22">
        <f t="shared" si="8"/>
        <v>0</v>
      </c>
      <c r="Y67" s="22">
        <f t="shared" si="9"/>
        <v>1</v>
      </c>
      <c r="Z67" s="26">
        <f t="shared" si="10"/>
        <v>0.1111111111111111</v>
      </c>
      <c r="AA67" s="22" t="str">
        <f t="shared" ca="1" si="11"/>
        <v xml:space="preserve">0 </v>
      </c>
      <c r="AB67" s="5"/>
      <c r="AC67" s="5"/>
    </row>
    <row r="68" spans="1:29" ht="25.15" customHeight="1" x14ac:dyDescent="0.2">
      <c r="A68" s="5" t="s">
        <v>59</v>
      </c>
      <c r="B68" s="5" t="s">
        <v>62</v>
      </c>
      <c r="C68" s="6">
        <v>500</v>
      </c>
      <c r="D68" s="40">
        <v>45763</v>
      </c>
      <c r="F68" s="5" t="str">
        <f t="shared" ref="F68:F99" ca="1" si="22">IFERROR(DATEDIF(D68,TODAY(),"YM") &amp; "  m " &amp; DATEDIF(D68,TODAY(),"MD") &amp; "  D "," ")</f>
        <v xml:space="preserve">8  m 0  D </v>
      </c>
      <c r="G68" s="5">
        <v>4215</v>
      </c>
      <c r="H68" s="5">
        <v>25152</v>
      </c>
      <c r="I68" s="22">
        <f>الجدول3[[#This Row],[O2]]/الجدول3[[#This Row],[N2]]</f>
        <v>0.16758110687022901</v>
      </c>
      <c r="J68" s="5">
        <v>7</v>
      </c>
      <c r="K68" s="5">
        <v>3490</v>
      </c>
      <c r="L68" s="5">
        <v>1</v>
      </c>
      <c r="M68" s="5">
        <v>3</v>
      </c>
      <c r="N68" s="42">
        <v>0</v>
      </c>
      <c r="O68" s="5">
        <v>3</v>
      </c>
      <c r="P68" s="5">
        <v>1292</v>
      </c>
      <c r="Q68" s="5" t="s">
        <v>25</v>
      </c>
      <c r="R68" s="5" t="s">
        <v>90</v>
      </c>
      <c r="S68" s="5" t="s">
        <v>150</v>
      </c>
      <c r="T68" s="43">
        <f t="shared" ref="T68:T99" si="23">IFERROR(IF(V68&gt;=1,EDATE(D68,U68),"غير محدد"),"غير محدد")</f>
        <v>45946</v>
      </c>
      <c r="U68" s="5" t="str" cm="1">
        <f t="array" ref="U68">IFERROR(MID(S68,MATCH(TRUE,ISNUMBER(1*MID(S68,ROW($1:$10),1)),0),COUNT(1*MID(S68,ROW($1:$10),1))),"غير محدد")</f>
        <v>6</v>
      </c>
      <c r="V68" s="32" t="s">
        <v>57</v>
      </c>
      <c r="W68" s="26">
        <f>'اسيوط الوادي'!$K63/'اسيوط الوادي'!$P63</f>
        <v>3.750955414012739</v>
      </c>
      <c r="X68" s="22">
        <f t="shared" ref="X68:X99" si="24">N68/L68</f>
        <v>0</v>
      </c>
      <c r="Y68" s="22">
        <f t="shared" ref="Y68:Y99" si="25">L68/M68</f>
        <v>0.33333333333333331</v>
      </c>
      <c r="Z68" s="26">
        <f t="shared" ref="Z68:Z99" si="26">O68/J68</f>
        <v>0.42857142857142855</v>
      </c>
      <c r="AA68" s="22" t="str">
        <f t="shared" ref="AA68:AA99" ca="1" si="27">IFERROR(DATEDIF(T68,TODAY(),"MD") &amp; "   ","0 ")</f>
        <v xml:space="preserve">0   </v>
      </c>
      <c r="AB68" s="5"/>
      <c r="AC68" s="5"/>
    </row>
    <row r="69" spans="1:29" ht="25.15" customHeight="1" x14ac:dyDescent="0.2">
      <c r="A69" s="5" t="s">
        <v>59</v>
      </c>
      <c r="B69" s="5" t="s">
        <v>61</v>
      </c>
      <c r="C69" s="6">
        <v>500</v>
      </c>
      <c r="D69" s="40">
        <v>45021</v>
      </c>
      <c r="F69" s="5" t="str">
        <f t="shared" ca="1" si="22"/>
        <v xml:space="preserve">8  m 11  D </v>
      </c>
      <c r="G69" s="5">
        <v>10387</v>
      </c>
      <c r="H69" s="5">
        <v>81938</v>
      </c>
      <c r="I69" s="22">
        <f>الجدول3[[#This Row],[O2]]/الجدول3[[#This Row],[N2]]</f>
        <v>0.12676657960897264</v>
      </c>
      <c r="J69" s="5">
        <v>46</v>
      </c>
      <c r="K69" s="5">
        <v>3564</v>
      </c>
      <c r="L69" s="5">
        <v>3</v>
      </c>
      <c r="M69" s="5">
        <v>3</v>
      </c>
      <c r="N69" s="42">
        <v>0</v>
      </c>
      <c r="O69" s="5">
        <v>6</v>
      </c>
      <c r="P69" s="5">
        <v>1339</v>
      </c>
      <c r="Q69" s="5" t="s">
        <v>25</v>
      </c>
      <c r="R69" s="5">
        <v>2</v>
      </c>
      <c r="S69" s="5" t="s">
        <v>12</v>
      </c>
      <c r="T69" s="43" t="str">
        <f t="shared" si="23"/>
        <v>غير محدد</v>
      </c>
      <c r="U69" s="5" t="str" cm="1">
        <f t="array" ref="U69">IFERROR(MID(S69,MATCH(TRUE,ISNUMBER(1*MID(S69,ROW($1:$10),1)),0),COUNT(1*MID(S69,ROW($1:$10),1))),"غير محدد")</f>
        <v>غير محدد</v>
      </c>
      <c r="V69" s="32" t="s">
        <v>93</v>
      </c>
      <c r="W69" s="26">
        <f>'اسيوط الوادي'!$K63/'اسيوط الوادي'!$P63</f>
        <v>3.750955414012739</v>
      </c>
      <c r="X69" s="22">
        <f t="shared" si="24"/>
        <v>0</v>
      </c>
      <c r="Y69" s="22">
        <f t="shared" si="25"/>
        <v>1</v>
      </c>
      <c r="Z69" s="26">
        <f t="shared" si="26"/>
        <v>0.13043478260869565</v>
      </c>
      <c r="AA69" s="22" t="str">
        <f t="shared" ca="1" si="27"/>
        <v xml:space="preserve">0 </v>
      </c>
      <c r="AB69" s="5"/>
      <c r="AC69" s="5"/>
    </row>
    <row r="70" spans="1:29" ht="25.15" customHeight="1" x14ac:dyDescent="0.2">
      <c r="A70" s="5" t="s">
        <v>59</v>
      </c>
      <c r="B70" s="5" t="s">
        <v>61</v>
      </c>
      <c r="C70" s="6">
        <v>500</v>
      </c>
      <c r="D70" s="40">
        <v>45271</v>
      </c>
      <c r="F70" s="5" t="str">
        <f t="shared" ca="1" si="22"/>
        <v xml:space="preserve">0  m 5  D </v>
      </c>
      <c r="G70" s="5">
        <v>5597</v>
      </c>
      <c r="H70" s="5">
        <v>52176</v>
      </c>
      <c r="I70" s="22">
        <f>الجدول3[[#This Row],[O2]]/الجدول3[[#This Row],[N2]]</f>
        <v>0.10727154247163447</v>
      </c>
      <c r="J70" s="5">
        <v>22</v>
      </c>
      <c r="K70" s="5">
        <v>6012</v>
      </c>
      <c r="L70" s="5">
        <v>2</v>
      </c>
      <c r="M70" s="5">
        <v>2</v>
      </c>
      <c r="N70" s="42">
        <v>0</v>
      </c>
      <c r="O70" s="5">
        <v>1</v>
      </c>
      <c r="P70" s="5">
        <v>1782</v>
      </c>
      <c r="Q70" s="5" t="s">
        <v>13</v>
      </c>
      <c r="R70" s="5" t="s">
        <v>90</v>
      </c>
      <c r="S70" s="5" t="s">
        <v>99</v>
      </c>
      <c r="T70" s="43" t="str">
        <f t="shared" si="23"/>
        <v>غير محدد</v>
      </c>
      <c r="U70" s="5" t="str" cm="1">
        <f t="array" ref="U70">IFERROR(MID(S70,MATCH(TRUE,ISNUMBER(1*MID(S70,ROW($1:$10),1)),0),COUNT(1*MID(S70,ROW($1:$10),1))),"غير محدد")</f>
        <v>غير محدد</v>
      </c>
      <c r="V70" s="32" t="s">
        <v>93</v>
      </c>
      <c r="W70" s="26">
        <f>'اسيوط الوادي'!$K64/'اسيوط الوادي'!$P64</f>
        <v>3.7866242038216562</v>
      </c>
      <c r="X70" s="22">
        <f t="shared" si="24"/>
        <v>0</v>
      </c>
      <c r="Y70" s="22">
        <f t="shared" si="25"/>
        <v>1</v>
      </c>
      <c r="Z70" s="26">
        <f t="shared" si="26"/>
        <v>4.5454545454545456E-2</v>
      </c>
      <c r="AA70" s="22" t="str">
        <f t="shared" ca="1" si="27"/>
        <v xml:space="preserve">0 </v>
      </c>
      <c r="AB70" s="5"/>
      <c r="AC70" s="5"/>
    </row>
    <row r="71" spans="1:29" ht="25.15" customHeight="1" x14ac:dyDescent="0.2">
      <c r="A71" s="5" t="s">
        <v>59</v>
      </c>
      <c r="B71" s="5" t="s">
        <v>61</v>
      </c>
      <c r="C71" s="6">
        <v>500</v>
      </c>
      <c r="D71" s="40">
        <v>45763</v>
      </c>
      <c r="F71" s="5" t="str">
        <f t="shared" ca="1" si="22"/>
        <v xml:space="preserve">8  m 0  D </v>
      </c>
      <c r="G71" s="5">
        <v>12103</v>
      </c>
      <c r="H71" s="5">
        <v>50986</v>
      </c>
      <c r="I71" s="22">
        <f>الجدول3[[#This Row],[O2]]/الجدول3[[#This Row],[N2]]</f>
        <v>0.23737888832228454</v>
      </c>
      <c r="J71" s="5">
        <v>10</v>
      </c>
      <c r="K71" s="5">
        <v>3530</v>
      </c>
      <c r="L71" s="5">
        <v>1</v>
      </c>
      <c r="M71" s="5">
        <v>3</v>
      </c>
      <c r="N71" s="42">
        <v>0</v>
      </c>
      <c r="O71" s="5">
        <v>2</v>
      </c>
      <c r="P71" s="5">
        <v>1176</v>
      </c>
      <c r="Q71" s="5" t="s">
        <v>25</v>
      </c>
      <c r="R71" s="5" t="s">
        <v>90</v>
      </c>
      <c r="S71" s="5" t="s">
        <v>150</v>
      </c>
      <c r="T71" s="43">
        <f t="shared" si="23"/>
        <v>45946</v>
      </c>
      <c r="U71" s="5" t="str" cm="1">
        <f t="array" ref="U71">IFERROR(MID(S71,MATCH(TRUE,ISNUMBER(1*MID(S71,ROW($1:$10),1)),0),COUNT(1*MID(S71,ROW($1:$10),1))),"غير محدد")</f>
        <v>6</v>
      </c>
      <c r="V71" s="32" t="s">
        <v>57</v>
      </c>
      <c r="W71" s="26">
        <f>'اسيوط الوادي'!$K66/'اسيوط الوادي'!$P66</f>
        <v>3.257309941520468</v>
      </c>
      <c r="X71" s="22">
        <f t="shared" si="24"/>
        <v>0</v>
      </c>
      <c r="Y71" s="22">
        <f t="shared" si="25"/>
        <v>0.33333333333333331</v>
      </c>
      <c r="Z71" s="26">
        <f t="shared" si="26"/>
        <v>0.2</v>
      </c>
      <c r="AA71" s="22" t="str">
        <f t="shared" ca="1" si="27"/>
        <v xml:space="preserve">0   </v>
      </c>
      <c r="AB71" s="5"/>
      <c r="AC71" s="5"/>
    </row>
    <row r="72" spans="1:29" ht="25.15" customHeight="1" x14ac:dyDescent="0.2">
      <c r="A72" s="5" t="s">
        <v>59</v>
      </c>
      <c r="B72" s="5" t="s">
        <v>207</v>
      </c>
      <c r="C72" s="6" t="s">
        <v>77</v>
      </c>
      <c r="D72" s="40">
        <v>45763</v>
      </c>
      <c r="F72" s="5" t="str">
        <f t="shared" ca="1" si="22"/>
        <v xml:space="preserve">8  m 0  D </v>
      </c>
      <c r="G72" s="5">
        <v>14823</v>
      </c>
      <c r="H72" s="5">
        <v>52839</v>
      </c>
      <c r="I72" s="22">
        <f>الجدول3[[#This Row],[O2]]/الجدول3[[#This Row],[N2]]</f>
        <v>0.2805314256515074</v>
      </c>
      <c r="J72" s="5">
        <v>18</v>
      </c>
      <c r="K72" s="5">
        <v>1695</v>
      </c>
      <c r="L72" s="5">
        <v>1</v>
      </c>
      <c r="M72" s="5">
        <v>5</v>
      </c>
      <c r="N72" s="42">
        <v>0</v>
      </c>
      <c r="O72" s="5">
        <v>2</v>
      </c>
      <c r="P72" s="5">
        <v>689</v>
      </c>
      <c r="Q72" s="5" t="s">
        <v>25</v>
      </c>
      <c r="R72" s="5" t="s">
        <v>90</v>
      </c>
      <c r="S72" s="5" t="s">
        <v>150</v>
      </c>
      <c r="T72" s="43">
        <f t="shared" si="23"/>
        <v>45946</v>
      </c>
      <c r="U72" s="5" t="str" cm="1">
        <f t="array" ref="U72">IFERROR(MID(S72,MATCH(TRUE,ISNUMBER(1*MID(S72,ROW($1:$10),1)),0),COUNT(1*MID(S72,ROW($1:$10),1))),"غير محدد")</f>
        <v>6</v>
      </c>
      <c r="V72" s="32" t="s">
        <v>93</v>
      </c>
      <c r="W72" s="26">
        <f>'اسيوط الوادي'!$K65/'اسيوط الوادي'!$P65</f>
        <v>3.3195706028075969</v>
      </c>
      <c r="X72" s="22">
        <f t="shared" si="24"/>
        <v>0</v>
      </c>
      <c r="Y72" s="22">
        <f t="shared" si="25"/>
        <v>0.2</v>
      </c>
      <c r="Z72" s="26">
        <f t="shared" si="26"/>
        <v>0.1111111111111111</v>
      </c>
      <c r="AA72" s="22" t="str">
        <f t="shared" ca="1" si="27"/>
        <v xml:space="preserve">0   </v>
      </c>
      <c r="AB72" s="5"/>
      <c r="AC72" s="5"/>
    </row>
    <row r="73" spans="1:29" ht="25.15" customHeight="1" x14ac:dyDescent="0.2">
      <c r="A73" s="5" t="s">
        <v>59</v>
      </c>
      <c r="B73" s="5" t="s">
        <v>208</v>
      </c>
      <c r="C73" s="6" t="s">
        <v>77</v>
      </c>
      <c r="D73" s="40">
        <v>45763</v>
      </c>
      <c r="F73" s="5" t="str">
        <f t="shared" ca="1" si="22"/>
        <v xml:space="preserve">8  m 0  D </v>
      </c>
      <c r="G73" s="5">
        <v>6656</v>
      </c>
      <c r="H73" s="5">
        <v>23840</v>
      </c>
      <c r="I73" s="22">
        <f>الجدول3[[#This Row],[O2]]/الجدول3[[#This Row],[N2]]</f>
        <v>0.2791946308724832</v>
      </c>
      <c r="J73" s="5">
        <v>13</v>
      </c>
      <c r="K73" s="5">
        <v>1657</v>
      </c>
      <c r="L73" s="5">
        <v>1</v>
      </c>
      <c r="M73" s="5">
        <v>3</v>
      </c>
      <c r="N73" s="42">
        <v>0</v>
      </c>
      <c r="O73" s="5">
        <v>2</v>
      </c>
      <c r="P73" s="5">
        <v>746</v>
      </c>
      <c r="Q73" s="5" t="s">
        <v>25</v>
      </c>
      <c r="R73" s="5" t="s">
        <v>90</v>
      </c>
      <c r="S73" s="5" t="s">
        <v>150</v>
      </c>
      <c r="T73" s="43">
        <f t="shared" si="23"/>
        <v>45946</v>
      </c>
      <c r="U73" s="5" t="str" cm="1">
        <f t="array" ref="U73">IFERROR(MID(S73,MATCH(TRUE,ISNUMBER(1*MID(S73,ROW($1:$10),1)),0),COUNT(1*MID(S73,ROW($1:$10),1))),"غير محدد")</f>
        <v>6</v>
      </c>
      <c r="V73" s="32" t="s">
        <v>93</v>
      </c>
      <c r="W73" s="26">
        <f>'اسيوط الوادي'!$K66/'اسيوط الوادي'!$P66</f>
        <v>3.257309941520468</v>
      </c>
      <c r="X73" s="22">
        <f t="shared" si="24"/>
        <v>0</v>
      </c>
      <c r="Y73" s="22">
        <f t="shared" si="25"/>
        <v>0.33333333333333331</v>
      </c>
      <c r="Z73" s="26">
        <f t="shared" si="26"/>
        <v>0.15384615384615385</v>
      </c>
      <c r="AA73" s="22" t="str">
        <f t="shared" ca="1" si="27"/>
        <v xml:space="preserve">0   </v>
      </c>
      <c r="AB73" s="5"/>
      <c r="AC73" s="5"/>
    </row>
    <row r="74" spans="1:29" ht="25.15" customHeight="1" x14ac:dyDescent="0.2">
      <c r="A74" s="5" t="s">
        <v>59</v>
      </c>
      <c r="B74" s="5" t="s">
        <v>73</v>
      </c>
      <c r="C74" s="6" t="s">
        <v>77</v>
      </c>
      <c r="D74" s="40">
        <v>42830</v>
      </c>
      <c r="F74" s="5" t="str">
        <f t="shared" ca="1" si="22"/>
        <v xml:space="preserve">8  m 11  D </v>
      </c>
      <c r="G74" s="5">
        <v>8471</v>
      </c>
      <c r="H74" s="5">
        <v>26592</v>
      </c>
      <c r="I74" s="22">
        <f>الجدول3[[#This Row],[O2]]/الجدول3[[#This Row],[N2]]</f>
        <v>0.31855445246690733</v>
      </c>
      <c r="J74" s="5">
        <v>4</v>
      </c>
      <c r="K74" s="5">
        <v>612</v>
      </c>
      <c r="L74" s="5">
        <v>1</v>
      </c>
      <c r="M74" s="5">
        <v>2</v>
      </c>
      <c r="N74" s="42">
        <v>0</v>
      </c>
      <c r="O74" s="5">
        <v>3</v>
      </c>
      <c r="P74" s="5">
        <v>134</v>
      </c>
      <c r="Q74" s="5" t="s">
        <v>21</v>
      </c>
      <c r="R74" s="5">
        <v>1</v>
      </c>
      <c r="S74" s="5" t="s">
        <v>70</v>
      </c>
      <c r="T74" s="43" t="str">
        <f t="shared" si="23"/>
        <v>غير محدد</v>
      </c>
      <c r="U74" s="5" t="str" cm="1">
        <f t="array" ref="U74">IFERROR(MID(S74,MATCH(TRUE,ISNUMBER(1*MID(S74,ROW($1:$10),1)),0),COUNT(1*MID(S74,ROW($1:$10),1))),"غير محدد")</f>
        <v>غير محدد</v>
      </c>
      <c r="V74" s="32" t="s">
        <v>93</v>
      </c>
      <c r="W74" s="26">
        <f>'اسيوط الوادي'!$K66/'اسيوط الوادي'!$P66</f>
        <v>3.257309941520468</v>
      </c>
      <c r="X74" s="22">
        <f t="shared" si="24"/>
        <v>0</v>
      </c>
      <c r="Y74" s="22">
        <f t="shared" si="25"/>
        <v>0.5</v>
      </c>
      <c r="Z74" s="26">
        <f t="shared" si="26"/>
        <v>0.75</v>
      </c>
      <c r="AA74" s="22" t="str">
        <f t="shared" ca="1" si="27"/>
        <v xml:space="preserve">0 </v>
      </c>
      <c r="AB74" s="5"/>
      <c r="AC74" s="5"/>
    </row>
    <row r="75" spans="1:29" ht="25.15" customHeight="1" x14ac:dyDescent="0.2">
      <c r="A75" s="5" t="s">
        <v>59</v>
      </c>
      <c r="B75" s="5" t="s">
        <v>73</v>
      </c>
      <c r="C75" s="6" t="s">
        <v>77</v>
      </c>
      <c r="D75" s="40">
        <v>43195</v>
      </c>
      <c r="F75" s="5" t="str">
        <f t="shared" ca="1" si="22"/>
        <v xml:space="preserve">8  m 11  D </v>
      </c>
      <c r="G75" s="5">
        <v>4894</v>
      </c>
      <c r="H75" s="5">
        <v>22420</v>
      </c>
      <c r="I75" s="22">
        <f>الجدول3[[#This Row],[O2]]/الجدول3[[#This Row],[N2]]</f>
        <v>0.21828724353256021</v>
      </c>
      <c r="J75" s="5">
        <v>6</v>
      </c>
      <c r="K75" s="5">
        <v>913</v>
      </c>
      <c r="L75" s="5">
        <v>1</v>
      </c>
      <c r="M75" s="5">
        <v>1</v>
      </c>
      <c r="N75" s="42">
        <v>0</v>
      </c>
      <c r="O75" s="5">
        <v>7</v>
      </c>
      <c r="P75" s="5">
        <v>224</v>
      </c>
      <c r="Q75" s="5" t="s">
        <v>21</v>
      </c>
      <c r="R75" s="5">
        <v>1</v>
      </c>
      <c r="S75" s="5" t="s">
        <v>70</v>
      </c>
      <c r="T75" s="43" t="str">
        <f t="shared" si="23"/>
        <v>غير محدد</v>
      </c>
      <c r="U75" s="5" t="str" cm="1">
        <f t="array" ref="U75">IFERROR(MID(S75,MATCH(TRUE,ISNUMBER(1*MID(S75,ROW($1:$10),1)),0),COUNT(1*MID(S75,ROW($1:$10),1))),"غير محدد")</f>
        <v>غير محدد</v>
      </c>
      <c r="V75" s="32" t="s">
        <v>93</v>
      </c>
      <c r="W75" s="26">
        <f>'اسيوط الوادي'!$K67/'اسيوط الوادي'!$P67</f>
        <v>2.8777381558838511</v>
      </c>
      <c r="X75" s="22">
        <f t="shared" si="24"/>
        <v>0</v>
      </c>
      <c r="Y75" s="22">
        <f t="shared" si="25"/>
        <v>1</v>
      </c>
      <c r="Z75" s="26">
        <f t="shared" si="26"/>
        <v>1.1666666666666667</v>
      </c>
      <c r="AA75" s="22" t="str">
        <f t="shared" ca="1" si="27"/>
        <v xml:space="preserve">0 </v>
      </c>
      <c r="AB75" s="5"/>
      <c r="AC75" s="5"/>
    </row>
    <row r="76" spans="1:29" ht="25.15" customHeight="1" x14ac:dyDescent="0.2">
      <c r="A76" s="5" t="s">
        <v>59</v>
      </c>
      <c r="B76" s="5" t="s">
        <v>73</v>
      </c>
      <c r="C76" s="6" t="s">
        <v>77</v>
      </c>
      <c r="D76" s="40">
        <v>43559</v>
      </c>
      <c r="F76" s="5" t="str">
        <f t="shared" ca="1" si="22"/>
        <v xml:space="preserve">8  m 12  D </v>
      </c>
      <c r="G76" s="5">
        <v>25586</v>
      </c>
      <c r="H76" s="5">
        <v>86902</v>
      </c>
      <c r="I76" s="22">
        <f>الجدول3[[#This Row],[O2]]/الجدول3[[#This Row],[N2]]</f>
        <v>0.29442360359945685</v>
      </c>
      <c r="J76" s="5">
        <v>3</v>
      </c>
      <c r="K76" s="5">
        <v>4565</v>
      </c>
      <c r="L76" s="5">
        <v>3</v>
      </c>
      <c r="M76" s="5">
        <v>5</v>
      </c>
      <c r="N76" s="42">
        <v>0</v>
      </c>
      <c r="O76" s="5">
        <v>1</v>
      </c>
      <c r="P76" s="5">
        <v>587</v>
      </c>
      <c r="Q76" s="5" t="s">
        <v>21</v>
      </c>
      <c r="R76" s="5">
        <v>1</v>
      </c>
      <c r="S76" s="5" t="s">
        <v>70</v>
      </c>
      <c r="T76" s="43" t="str">
        <f t="shared" si="23"/>
        <v>غير محدد</v>
      </c>
      <c r="U76" s="5" t="str" cm="1">
        <f t="array" ref="U76">IFERROR(MID(S76,MATCH(TRUE,ISNUMBER(1*MID(S76,ROW($1:$10),1)),0),COUNT(1*MID(S76,ROW($1:$10),1))),"غير محدد")</f>
        <v>غير محدد</v>
      </c>
      <c r="V76" s="32" t="s">
        <v>93</v>
      </c>
      <c r="W76" s="26">
        <f>'اسيوط الوادي'!$K69/'اسيوط الوادي'!$P69</f>
        <v>2.6616878267363706</v>
      </c>
      <c r="X76" s="22">
        <f t="shared" si="24"/>
        <v>0</v>
      </c>
      <c r="Y76" s="22">
        <f t="shared" si="25"/>
        <v>0.6</v>
      </c>
      <c r="Z76" s="26">
        <f t="shared" si="26"/>
        <v>0.33333333333333331</v>
      </c>
      <c r="AA76" s="22" t="str">
        <f t="shared" ca="1" si="27"/>
        <v xml:space="preserve">0 </v>
      </c>
      <c r="AB76" s="5"/>
      <c r="AC76" s="5"/>
    </row>
    <row r="77" spans="1:29" ht="25.15" customHeight="1" x14ac:dyDescent="0.2">
      <c r="A77" s="5" t="s">
        <v>59</v>
      </c>
      <c r="B77" s="5" t="s">
        <v>73</v>
      </c>
      <c r="C77" s="6" t="s">
        <v>77</v>
      </c>
      <c r="D77" s="40">
        <v>43935</v>
      </c>
      <c r="F77" s="5" t="str">
        <f t="shared" ca="1" si="22"/>
        <v xml:space="preserve">8  m 2  D </v>
      </c>
      <c r="G77" s="5">
        <v>10489</v>
      </c>
      <c r="H77" s="5">
        <v>59622</v>
      </c>
      <c r="I77" s="22">
        <f>الجدول3[[#This Row],[O2]]/الجدول3[[#This Row],[N2]]</f>
        <v>0.17592499412968368</v>
      </c>
      <c r="J77" s="5">
        <v>4</v>
      </c>
      <c r="K77" s="5">
        <v>1758</v>
      </c>
      <c r="L77" s="5">
        <v>6</v>
      </c>
      <c r="M77" s="5">
        <v>11</v>
      </c>
      <c r="N77" s="42">
        <v>0</v>
      </c>
      <c r="O77" s="5">
        <v>1</v>
      </c>
      <c r="P77" s="5">
        <v>588</v>
      </c>
      <c r="Q77" s="5" t="s">
        <v>25</v>
      </c>
      <c r="R77" s="5">
        <v>2</v>
      </c>
      <c r="S77" s="5" t="s">
        <v>12</v>
      </c>
      <c r="T77" s="43" t="str">
        <f t="shared" si="23"/>
        <v>غير محدد</v>
      </c>
      <c r="U77" s="5" t="str" cm="1">
        <f t="array" ref="U77">IFERROR(MID(S77,MATCH(TRUE,ISNUMBER(1*MID(S77,ROW($1:$10),1)),0),COUNT(1*MID(S77,ROW($1:$10),1))),"غير محدد")</f>
        <v>غير محدد</v>
      </c>
      <c r="V77" s="32" t="s">
        <v>93</v>
      </c>
      <c r="W77" s="26">
        <f>'اسيوط الوادي'!$K70/'اسيوط الوادي'!$P70</f>
        <v>3.3737373737373737</v>
      </c>
      <c r="X77" s="22">
        <f t="shared" si="24"/>
        <v>0</v>
      </c>
      <c r="Y77" s="22">
        <f t="shared" si="25"/>
        <v>0.54545454545454541</v>
      </c>
      <c r="Z77" s="26">
        <f t="shared" si="26"/>
        <v>0.25</v>
      </c>
      <c r="AA77" s="22" t="str">
        <f t="shared" ca="1" si="27"/>
        <v xml:space="preserve">0 </v>
      </c>
      <c r="AB77" s="5"/>
      <c r="AC77" s="5"/>
    </row>
    <row r="78" spans="1:29" ht="25.15" customHeight="1" x14ac:dyDescent="0.2">
      <c r="A78" s="5" t="s">
        <v>59</v>
      </c>
      <c r="B78" s="5" t="s">
        <v>73</v>
      </c>
      <c r="C78" s="6" t="s">
        <v>77</v>
      </c>
      <c r="D78" s="40">
        <v>44290</v>
      </c>
      <c r="F78" s="5" t="str">
        <f t="shared" ca="1" si="22"/>
        <v xml:space="preserve">8  m 12  D </v>
      </c>
      <c r="G78" s="5">
        <v>29603</v>
      </c>
      <c r="H78" s="5">
        <v>68500</v>
      </c>
      <c r="I78" s="22">
        <f>الجدول3[[#This Row],[O2]]/الجدول3[[#This Row],[N2]]</f>
        <v>0.43216058394160584</v>
      </c>
      <c r="J78" s="5">
        <v>10</v>
      </c>
      <c r="K78" s="5">
        <v>4948</v>
      </c>
      <c r="L78" s="5">
        <v>3</v>
      </c>
      <c r="M78" s="5">
        <v>4</v>
      </c>
      <c r="N78" s="42">
        <v>0</v>
      </c>
      <c r="O78" s="5">
        <v>4</v>
      </c>
      <c r="P78" s="5">
        <v>995</v>
      </c>
      <c r="Q78" s="5" t="s">
        <v>25</v>
      </c>
      <c r="R78" s="5">
        <v>2</v>
      </c>
      <c r="S78" s="5" t="s">
        <v>12</v>
      </c>
      <c r="T78" s="43" t="str">
        <f t="shared" si="23"/>
        <v>غير محدد</v>
      </c>
      <c r="U78" s="5" t="str" cm="1">
        <f t="array" ref="U78">IFERROR(MID(S78,MATCH(TRUE,ISNUMBER(1*MID(S78,ROW($1:$10),1)),0),COUNT(1*MID(S78,ROW($1:$10),1))),"غير محدد")</f>
        <v>غير محدد</v>
      </c>
      <c r="V78" s="32" t="s">
        <v>93</v>
      </c>
      <c r="W78" s="26">
        <f>'اسيوط الوادي'!$K74/'اسيوط الوادي'!$P74</f>
        <v>4.5671641791044779</v>
      </c>
      <c r="X78" s="22">
        <f t="shared" si="24"/>
        <v>0</v>
      </c>
      <c r="Y78" s="22">
        <f t="shared" si="25"/>
        <v>0.75</v>
      </c>
      <c r="Z78" s="26">
        <f t="shared" si="26"/>
        <v>0.4</v>
      </c>
      <c r="AA78" s="22" t="str">
        <f t="shared" ca="1" si="27"/>
        <v xml:space="preserve">0 </v>
      </c>
      <c r="AB78" s="5"/>
      <c r="AC78" s="5"/>
    </row>
    <row r="79" spans="1:29" ht="25.15" customHeight="1" x14ac:dyDescent="0.2">
      <c r="A79" s="5" t="s">
        <v>59</v>
      </c>
      <c r="B79" s="5" t="s">
        <v>73</v>
      </c>
      <c r="C79" s="6" t="s">
        <v>77</v>
      </c>
      <c r="D79" s="40">
        <v>44474</v>
      </c>
      <c r="F79" s="5" t="str">
        <f t="shared" ca="1" si="22"/>
        <v xml:space="preserve">2  m 11  D </v>
      </c>
      <c r="G79" s="5">
        <v>3140</v>
      </c>
      <c r="H79" s="5">
        <v>82543</v>
      </c>
      <c r="I79" s="22">
        <f>الجدول3[[#This Row],[O2]]/الجدول3[[#This Row],[N2]]</f>
        <v>3.8040778745623491E-2</v>
      </c>
      <c r="J79" s="5">
        <v>16</v>
      </c>
      <c r="K79" s="5">
        <v>2270</v>
      </c>
      <c r="L79" s="5">
        <v>3</v>
      </c>
      <c r="M79" s="5">
        <v>2</v>
      </c>
      <c r="N79" s="42">
        <v>0</v>
      </c>
      <c r="O79" s="5">
        <v>2</v>
      </c>
      <c r="P79" s="5">
        <v>867</v>
      </c>
      <c r="Q79" s="5" t="s">
        <v>13</v>
      </c>
      <c r="R79" s="5">
        <v>2</v>
      </c>
      <c r="S79" s="5" t="s">
        <v>12</v>
      </c>
      <c r="T79" s="43" t="str">
        <f t="shared" si="23"/>
        <v>غير محدد</v>
      </c>
      <c r="U79" s="5" t="str" cm="1">
        <f t="array" ref="U79">IFERROR(MID(S79,MATCH(TRUE,ISNUMBER(1*MID(S79,ROW($1:$10),1)),0),COUNT(1*MID(S79,ROW($1:$10),1))),"غير محدد")</f>
        <v>غير محدد</v>
      </c>
      <c r="V79" s="32" t="s">
        <v>93</v>
      </c>
      <c r="W79" s="26">
        <f>'اسيوط الوادي'!$K75/'اسيوط الوادي'!$P75</f>
        <v>4.0758928571428568</v>
      </c>
      <c r="X79" s="22">
        <f t="shared" si="24"/>
        <v>0</v>
      </c>
      <c r="Y79" s="22">
        <f t="shared" si="25"/>
        <v>1.5</v>
      </c>
      <c r="Z79" s="26">
        <f t="shared" si="26"/>
        <v>0.125</v>
      </c>
      <c r="AA79" s="22" t="str">
        <f t="shared" ca="1" si="27"/>
        <v xml:space="preserve">0 </v>
      </c>
      <c r="AB79" s="5"/>
      <c r="AC79" s="5"/>
    </row>
    <row r="80" spans="1:29" ht="25.15" customHeight="1" x14ac:dyDescent="0.2">
      <c r="A80" s="5" t="s">
        <v>59</v>
      </c>
      <c r="B80" s="5" t="s">
        <v>73</v>
      </c>
      <c r="C80" s="6" t="s">
        <v>77</v>
      </c>
      <c r="D80" s="40">
        <v>44663</v>
      </c>
      <c r="F80" s="5" t="str">
        <f t="shared" ca="1" si="22"/>
        <v xml:space="preserve">8  m 4  D </v>
      </c>
      <c r="G80" s="5">
        <v>16252</v>
      </c>
      <c r="H80" s="5">
        <v>85709</v>
      </c>
      <c r="I80" s="22">
        <f>الجدول3[[#This Row],[O2]]/الجدول3[[#This Row],[N2]]</f>
        <v>0.18961835979885427</v>
      </c>
      <c r="J80" s="5">
        <v>18</v>
      </c>
      <c r="K80" s="5">
        <v>1917</v>
      </c>
      <c r="L80" s="5">
        <v>1</v>
      </c>
      <c r="M80" s="5">
        <v>1</v>
      </c>
      <c r="N80" s="42">
        <v>0</v>
      </c>
      <c r="O80" s="5">
        <v>2</v>
      </c>
      <c r="P80" s="5">
        <v>798</v>
      </c>
      <c r="Q80" s="5" t="s">
        <v>25</v>
      </c>
      <c r="R80" s="5">
        <v>2</v>
      </c>
      <c r="S80" s="5" t="s">
        <v>12</v>
      </c>
      <c r="T80" s="43" t="str">
        <f t="shared" si="23"/>
        <v>غير محدد</v>
      </c>
      <c r="U80" s="5" t="str" cm="1">
        <f t="array" ref="U80">IFERROR(MID(S80,MATCH(TRUE,ISNUMBER(1*MID(S80,ROW($1:$10),1)),0),COUNT(1*MID(S80,ROW($1:$10),1))),"غير محدد")</f>
        <v>غير محدد</v>
      </c>
      <c r="V80" s="32" t="s">
        <v>93</v>
      </c>
      <c r="W80" s="26">
        <f>'اسيوط الوادي'!$K76/'اسيوط الوادي'!$P76</f>
        <v>7.7768313458262348</v>
      </c>
      <c r="X80" s="22">
        <f t="shared" si="24"/>
        <v>0</v>
      </c>
      <c r="Y80" s="22">
        <f t="shared" si="25"/>
        <v>1</v>
      </c>
      <c r="Z80" s="26">
        <f t="shared" si="26"/>
        <v>0.1111111111111111</v>
      </c>
      <c r="AA80" s="22" t="str">
        <f t="shared" ca="1" si="27"/>
        <v xml:space="preserve">0 </v>
      </c>
      <c r="AB80" s="5"/>
      <c r="AC80" s="5"/>
    </row>
    <row r="81" spans="1:29" ht="25.15" customHeight="1" x14ac:dyDescent="0.2">
      <c r="A81" s="5" t="s">
        <v>59</v>
      </c>
      <c r="B81" s="5" t="s">
        <v>73</v>
      </c>
      <c r="C81" s="6" t="s">
        <v>77</v>
      </c>
      <c r="D81" s="40">
        <v>44719</v>
      </c>
      <c r="F81" s="5" t="str">
        <f t="shared" ca="1" si="22"/>
        <v xml:space="preserve">6  m 9  D </v>
      </c>
      <c r="G81" s="5">
        <v>10914</v>
      </c>
      <c r="H81" s="5">
        <v>87146</v>
      </c>
      <c r="I81" s="22">
        <f>الجدول3[[#This Row],[O2]]/الجدول3[[#This Row],[N2]]</f>
        <v>0.12523810616666284</v>
      </c>
      <c r="J81" s="5">
        <v>17</v>
      </c>
      <c r="K81" s="5">
        <v>1379</v>
      </c>
      <c r="L81" s="5">
        <v>6</v>
      </c>
      <c r="M81" s="5">
        <v>6</v>
      </c>
      <c r="N81" s="42">
        <v>0</v>
      </c>
      <c r="O81" s="5">
        <v>1</v>
      </c>
      <c r="P81" s="5">
        <v>187</v>
      </c>
      <c r="Q81" s="5" t="s">
        <v>21</v>
      </c>
      <c r="R81" s="5">
        <v>1</v>
      </c>
      <c r="S81" s="5" t="s">
        <v>22</v>
      </c>
      <c r="T81" s="43" t="str">
        <f t="shared" si="23"/>
        <v>غير محدد</v>
      </c>
      <c r="U81" s="5" t="str" cm="1">
        <f t="array" ref="U81">IFERROR(MID(S81,MATCH(TRUE,ISNUMBER(1*MID(S81,ROW($1:$10),1)),0),COUNT(1*MID(S81,ROW($1:$10),1))),"غير محدد")</f>
        <v>غير محدد</v>
      </c>
      <c r="V81" s="32" t="s">
        <v>93</v>
      </c>
      <c r="W81" s="26">
        <f>'اسيوط الوادي'!$K77/'اسيوط الوادي'!$P77</f>
        <v>2.989795918367347</v>
      </c>
      <c r="X81" s="22">
        <f t="shared" si="24"/>
        <v>0</v>
      </c>
      <c r="Y81" s="22">
        <f t="shared" si="25"/>
        <v>1</v>
      </c>
      <c r="Z81" s="26">
        <f t="shared" si="26"/>
        <v>5.8823529411764705E-2</v>
      </c>
      <c r="AA81" s="22" t="str">
        <f t="shared" ca="1" si="27"/>
        <v xml:space="preserve">0 </v>
      </c>
      <c r="AB81" s="5"/>
      <c r="AC81" s="5"/>
    </row>
    <row r="82" spans="1:29" ht="25.15" customHeight="1" x14ac:dyDescent="0.2">
      <c r="A82" s="5" t="s">
        <v>59</v>
      </c>
      <c r="B82" s="5" t="s">
        <v>73</v>
      </c>
      <c r="C82" s="6" t="s">
        <v>77</v>
      </c>
      <c r="D82" s="40">
        <v>44871</v>
      </c>
      <c r="F82" s="5" t="str">
        <f t="shared" ca="1" si="22"/>
        <v xml:space="preserve">1  m 10  D </v>
      </c>
      <c r="G82" s="5">
        <v>14193</v>
      </c>
      <c r="H82" s="5">
        <v>28948</v>
      </c>
      <c r="I82" s="22">
        <f>الجدول3[[#This Row],[O2]]/الجدول3[[#This Row],[N2]]</f>
        <v>0.49029293906314769</v>
      </c>
      <c r="J82" s="5">
        <v>36</v>
      </c>
      <c r="K82" s="5">
        <v>2313</v>
      </c>
      <c r="L82" s="5">
        <v>4</v>
      </c>
      <c r="M82" s="5">
        <v>3</v>
      </c>
      <c r="N82" s="42">
        <v>0</v>
      </c>
      <c r="O82" s="5">
        <v>1</v>
      </c>
      <c r="P82" s="5">
        <v>416</v>
      </c>
      <c r="Q82" s="5" t="s">
        <v>21</v>
      </c>
      <c r="R82" s="5">
        <v>1</v>
      </c>
      <c r="S82" s="5" t="s">
        <v>22</v>
      </c>
      <c r="T82" s="43" t="str">
        <f t="shared" si="23"/>
        <v>غير محدد</v>
      </c>
      <c r="U82" s="5" t="str" cm="1">
        <f t="array" ref="U82">IFERROR(MID(S82,MATCH(TRUE,ISNUMBER(1*MID(S82,ROW($1:$10),1)),0),COUNT(1*MID(S82,ROW($1:$10),1))),"غير محدد")</f>
        <v>غير محدد</v>
      </c>
      <c r="V82" s="32" t="s">
        <v>93</v>
      </c>
      <c r="W82" s="26">
        <f>'اسيوط الوادي'!$K78/'اسيوط الوادي'!$P78</f>
        <v>4.9728643216080402</v>
      </c>
      <c r="X82" s="22">
        <f t="shared" si="24"/>
        <v>0</v>
      </c>
      <c r="Y82" s="22">
        <f t="shared" si="25"/>
        <v>1.3333333333333333</v>
      </c>
      <c r="Z82" s="26">
        <f t="shared" si="26"/>
        <v>2.7777777777777776E-2</v>
      </c>
      <c r="AA82" s="22" t="str">
        <f t="shared" ca="1" si="27"/>
        <v xml:space="preserve">0 </v>
      </c>
      <c r="AB82" s="5"/>
      <c r="AC82" s="5"/>
    </row>
    <row r="83" spans="1:29" ht="25.15" customHeight="1" x14ac:dyDescent="0.2">
      <c r="A83" s="5" t="s">
        <v>59</v>
      </c>
      <c r="B83" s="5" t="s">
        <v>73</v>
      </c>
      <c r="C83" s="6" t="s">
        <v>28</v>
      </c>
      <c r="D83" s="40">
        <v>45021</v>
      </c>
      <c r="F83" s="5" t="str">
        <f t="shared" ca="1" si="22"/>
        <v xml:space="preserve">8  m 11  D </v>
      </c>
      <c r="G83" s="5">
        <v>18328</v>
      </c>
      <c r="H83" s="5">
        <v>132193</v>
      </c>
      <c r="I83" s="22">
        <f>الجدول3[[#This Row],[O2]]/الجدول3[[#This Row],[N2]]</f>
        <v>0.13864576793022323</v>
      </c>
      <c r="J83" s="5">
        <v>36</v>
      </c>
      <c r="K83" s="5">
        <v>2942</v>
      </c>
      <c r="L83" s="5">
        <v>3</v>
      </c>
      <c r="M83" s="5">
        <v>2</v>
      </c>
      <c r="N83" s="42">
        <v>0</v>
      </c>
      <c r="O83" s="5">
        <v>1</v>
      </c>
      <c r="P83" s="5">
        <v>517</v>
      </c>
      <c r="Q83" s="5" t="s">
        <v>21</v>
      </c>
      <c r="R83" s="5">
        <v>1</v>
      </c>
      <c r="S83" s="5" t="s">
        <v>68</v>
      </c>
      <c r="T83" s="43" t="str">
        <f t="shared" si="23"/>
        <v>غير محدد</v>
      </c>
      <c r="U83" s="5" t="str" cm="1">
        <f t="array" ref="U83">IFERROR(MID(S83,MATCH(TRUE,ISNUMBER(1*MID(S83,ROW($1:$10),1)),0),COUNT(1*MID(S83,ROW($1:$10),1))),"غير محدد")</f>
        <v>غير محدد</v>
      </c>
      <c r="V83" s="32" t="s">
        <v>93</v>
      </c>
      <c r="W83" s="26">
        <f>'اسيوط الوادي'!$K79/'اسيوط الوادي'!$P79</f>
        <v>2.6182237600922722</v>
      </c>
      <c r="X83" s="22">
        <f t="shared" si="24"/>
        <v>0</v>
      </c>
      <c r="Y83" s="22">
        <f t="shared" si="25"/>
        <v>1.5</v>
      </c>
      <c r="Z83" s="26">
        <f t="shared" si="26"/>
        <v>2.7777777777777776E-2</v>
      </c>
      <c r="AA83" s="22" t="str">
        <f t="shared" ca="1" si="27"/>
        <v xml:space="preserve">0 </v>
      </c>
      <c r="AB83" s="5"/>
      <c r="AC83" s="5"/>
    </row>
    <row r="84" spans="1:29" ht="25.15" customHeight="1" x14ac:dyDescent="0.2">
      <c r="A84" s="5" t="s">
        <v>59</v>
      </c>
      <c r="B84" s="5" t="s">
        <v>73</v>
      </c>
      <c r="C84" s="6" t="s">
        <v>77</v>
      </c>
      <c r="D84" s="40">
        <v>45047</v>
      </c>
      <c r="F84" s="5" t="str">
        <f t="shared" ca="1" si="22"/>
        <v xml:space="preserve">7  m 15  D </v>
      </c>
      <c r="G84" s="5">
        <v>7900</v>
      </c>
      <c r="H84" s="5">
        <v>34715</v>
      </c>
      <c r="I84" s="22">
        <f>الجدول3[[#This Row],[O2]]/الجدول3[[#This Row],[N2]]</f>
        <v>0.22756733400547313</v>
      </c>
      <c r="J84" s="5">
        <v>23</v>
      </c>
      <c r="K84" s="5">
        <v>1925</v>
      </c>
      <c r="L84" s="5">
        <v>2</v>
      </c>
      <c r="M84" s="5">
        <v>3</v>
      </c>
      <c r="N84" s="42">
        <v>0</v>
      </c>
      <c r="O84" s="5">
        <v>1</v>
      </c>
      <c r="P84" s="5">
        <v>529</v>
      </c>
      <c r="Q84" s="5" t="s">
        <v>21</v>
      </c>
      <c r="R84" s="5">
        <v>1</v>
      </c>
      <c r="S84" s="5" t="s">
        <v>68</v>
      </c>
      <c r="T84" s="43" t="str">
        <f t="shared" si="23"/>
        <v>غير محدد</v>
      </c>
      <c r="U84" s="5" t="str" cm="1">
        <f t="array" ref="U84">IFERROR(MID(S84,MATCH(TRUE,ISNUMBER(1*MID(S84,ROW($1:$10),1)),0),COUNT(1*MID(S84,ROW($1:$10),1))),"غير محدد")</f>
        <v>غير محدد</v>
      </c>
      <c r="V84" s="32" t="s">
        <v>93</v>
      </c>
      <c r="W84" s="26">
        <f>'اسيوط الوادي'!$K80/'اسيوط الوادي'!$P80</f>
        <v>2.4022556390977443</v>
      </c>
      <c r="X84" s="22">
        <f t="shared" si="24"/>
        <v>0</v>
      </c>
      <c r="Y84" s="22">
        <f t="shared" si="25"/>
        <v>0.66666666666666663</v>
      </c>
      <c r="Z84" s="26">
        <f t="shared" si="26"/>
        <v>4.3478260869565216E-2</v>
      </c>
      <c r="AA84" s="22" t="str">
        <f t="shared" ca="1" si="27"/>
        <v xml:space="preserve">0 </v>
      </c>
      <c r="AB84" s="5"/>
      <c r="AC84" s="5"/>
    </row>
    <row r="85" spans="1:29" ht="25.15" customHeight="1" x14ac:dyDescent="0.2">
      <c r="A85" s="5" t="s">
        <v>59</v>
      </c>
      <c r="B85" s="5" t="s">
        <v>73</v>
      </c>
      <c r="C85" s="6" t="s">
        <v>77</v>
      </c>
      <c r="D85" s="40">
        <v>45406</v>
      </c>
      <c r="F85" s="5" t="str">
        <f t="shared" ca="1" si="22"/>
        <v xml:space="preserve">7  m 22  D </v>
      </c>
      <c r="G85" s="5">
        <v>13756</v>
      </c>
      <c r="H85" s="5">
        <v>36888</v>
      </c>
      <c r="I85" s="22">
        <f>الجدول3[[#This Row],[O2]]/الجدول3[[#This Row],[N2]]</f>
        <v>0.37291260030362178</v>
      </c>
      <c r="J85" s="5">
        <v>29</v>
      </c>
      <c r="K85" s="5">
        <v>2249</v>
      </c>
      <c r="L85" s="5">
        <v>7</v>
      </c>
      <c r="M85" s="5">
        <v>25</v>
      </c>
      <c r="N85" s="42">
        <v>0</v>
      </c>
      <c r="O85" s="5">
        <v>1</v>
      </c>
      <c r="P85" s="5">
        <v>446</v>
      </c>
      <c r="Q85" s="5" t="s">
        <v>13</v>
      </c>
      <c r="R85" s="5" t="s">
        <v>90</v>
      </c>
      <c r="S85" s="5" t="s">
        <v>171</v>
      </c>
      <c r="T85" s="43">
        <f t="shared" si="23"/>
        <v>45589</v>
      </c>
      <c r="U85" s="5" t="str" cm="1">
        <f t="array" ref="U85">IFERROR(MID(S85,MATCH(TRUE,ISNUMBER(1*MID(S85,ROW($1:$10),1)),0),COUNT(1*MID(S85,ROW($1:$10),1))),"غير محدد")</f>
        <v>6</v>
      </c>
      <c r="V85" s="32" t="s">
        <v>57</v>
      </c>
      <c r="W85" s="26">
        <f>'اسيوط الوادي'!$K81/'اسيوط الوادي'!$P81</f>
        <v>7.3743315508021388</v>
      </c>
      <c r="X85" s="22">
        <f t="shared" si="24"/>
        <v>0</v>
      </c>
      <c r="Y85" s="22">
        <f t="shared" si="25"/>
        <v>0.28000000000000003</v>
      </c>
      <c r="Z85" s="26">
        <f t="shared" si="26"/>
        <v>3.4482758620689655E-2</v>
      </c>
      <c r="AA85" s="22" t="str">
        <f t="shared" ca="1" si="27"/>
        <v xml:space="preserve">22   </v>
      </c>
      <c r="AB85" s="5"/>
      <c r="AC85" s="5"/>
    </row>
    <row r="86" spans="1:29" ht="25.15" customHeight="1" x14ac:dyDescent="0.2">
      <c r="A86" s="5" t="s">
        <v>59</v>
      </c>
      <c r="B86" s="5" t="s">
        <v>73</v>
      </c>
      <c r="C86" s="6" t="s">
        <v>77</v>
      </c>
      <c r="D86" s="40">
        <v>45630</v>
      </c>
      <c r="F86" s="5" t="str">
        <f t="shared" ca="1" si="22"/>
        <v xml:space="preserve">0  m 12  D </v>
      </c>
      <c r="G86" s="5">
        <v>15966</v>
      </c>
      <c r="H86" s="5">
        <v>90486</v>
      </c>
      <c r="I86" s="22">
        <f>الجدول3[[#This Row],[O2]]/الجدول3[[#This Row],[N2]]</f>
        <v>0.17644718519992042</v>
      </c>
      <c r="J86" s="5">
        <v>38</v>
      </c>
      <c r="K86" s="5">
        <v>619</v>
      </c>
      <c r="L86" s="5">
        <v>1</v>
      </c>
      <c r="M86" s="5">
        <v>1</v>
      </c>
      <c r="N86" s="42">
        <v>0</v>
      </c>
      <c r="O86" s="5">
        <v>8</v>
      </c>
      <c r="P86" s="5">
        <v>212</v>
      </c>
      <c r="Q86" s="5" t="s">
        <v>11</v>
      </c>
      <c r="R86" s="5" t="s">
        <v>90</v>
      </c>
      <c r="S86" s="5" t="s">
        <v>150</v>
      </c>
      <c r="T86" s="43">
        <f t="shared" si="23"/>
        <v>45812</v>
      </c>
      <c r="U86" s="5" t="str" cm="1">
        <f t="array" ref="U86">IFERROR(MID(S86,MATCH(TRUE,ISNUMBER(1*MID(S86,ROW($1:$10),1)),0),COUNT(1*MID(S86,ROW($1:$10),1))),"غير محدد")</f>
        <v>6</v>
      </c>
      <c r="V86" s="32" t="s">
        <v>93</v>
      </c>
      <c r="W86" s="26">
        <f>'اسيوط الوادي'!$K82/'اسيوط الوادي'!$P82</f>
        <v>5.5600961538461542</v>
      </c>
      <c r="X86" s="22">
        <f t="shared" si="24"/>
        <v>0</v>
      </c>
      <c r="Y86" s="22">
        <f t="shared" si="25"/>
        <v>1</v>
      </c>
      <c r="Z86" s="26">
        <f t="shared" si="26"/>
        <v>0.21052631578947367</v>
      </c>
      <c r="AA86" s="22" t="str">
        <f t="shared" ca="1" si="27"/>
        <v xml:space="preserve">12   </v>
      </c>
      <c r="AB86" s="5"/>
      <c r="AC86" s="5"/>
    </row>
    <row r="87" spans="1:29" ht="25.15" customHeight="1" x14ac:dyDescent="0.2">
      <c r="A87" s="5" t="s">
        <v>59</v>
      </c>
      <c r="B87" s="5" t="s">
        <v>73</v>
      </c>
      <c r="C87" s="6" t="s">
        <v>77</v>
      </c>
      <c r="D87" s="40">
        <v>45763</v>
      </c>
      <c r="F87" s="5" t="str">
        <f t="shared" ca="1" si="22"/>
        <v xml:space="preserve">8  m 0  D </v>
      </c>
      <c r="G87" s="5">
        <v>9915</v>
      </c>
      <c r="H87" s="5">
        <v>27780</v>
      </c>
      <c r="I87" s="22">
        <f>الجدول3[[#This Row],[O2]]/الجدول3[[#This Row],[N2]]</f>
        <v>0.35691144708423328</v>
      </c>
      <c r="J87" s="5">
        <v>34</v>
      </c>
      <c r="K87" s="5">
        <v>3042</v>
      </c>
      <c r="L87" s="5">
        <v>1</v>
      </c>
      <c r="M87" s="5">
        <v>2</v>
      </c>
      <c r="N87" s="42">
        <v>0</v>
      </c>
      <c r="O87" s="5">
        <v>1</v>
      </c>
      <c r="P87" s="5">
        <v>746</v>
      </c>
      <c r="Q87" s="5" t="s">
        <v>13</v>
      </c>
      <c r="R87" s="5" t="s">
        <v>90</v>
      </c>
      <c r="S87" s="5" t="s">
        <v>150</v>
      </c>
      <c r="T87" s="43">
        <f t="shared" si="23"/>
        <v>45946</v>
      </c>
      <c r="U87" s="5" t="str" cm="1">
        <f t="array" ref="U87">IFERROR(MID(S87,MATCH(TRUE,ISNUMBER(1*MID(S87,ROW($1:$10),1)),0),COUNT(1*MID(S87,ROW($1:$10),1))),"غير محدد")</f>
        <v>6</v>
      </c>
      <c r="V87" s="32" t="s">
        <v>57</v>
      </c>
      <c r="W87" s="26">
        <f>'اسيوط الوادي'!$K83/'اسيوط الوادي'!$P83</f>
        <v>5.6905222437137333</v>
      </c>
      <c r="X87" s="22">
        <f t="shared" si="24"/>
        <v>0</v>
      </c>
      <c r="Y87" s="22">
        <f t="shared" si="25"/>
        <v>0.5</v>
      </c>
      <c r="Z87" s="26">
        <f t="shared" si="26"/>
        <v>2.9411764705882353E-2</v>
      </c>
      <c r="AA87" s="22" t="str">
        <f t="shared" ca="1" si="27"/>
        <v xml:space="preserve">0   </v>
      </c>
      <c r="AB87" s="5"/>
      <c r="AC87" s="5"/>
    </row>
    <row r="88" spans="1:29" ht="25.15" customHeight="1" x14ac:dyDescent="0.2">
      <c r="A88" s="5" t="s">
        <v>71</v>
      </c>
      <c r="B88" s="5" t="s">
        <v>15</v>
      </c>
      <c r="C88" s="6" t="s">
        <v>19</v>
      </c>
      <c r="D88" s="40">
        <v>45056</v>
      </c>
      <c r="F88" s="5" t="str">
        <f t="shared" ca="1" si="22"/>
        <v xml:space="preserve">7  m 6  D </v>
      </c>
      <c r="G88" s="5">
        <v>2088</v>
      </c>
      <c r="H88" s="5">
        <v>95519</v>
      </c>
      <c r="I88" s="22">
        <f>الجدول3[[#This Row],[O2]]/الجدول3[[#This Row],[N2]]</f>
        <v>2.1859525330039049E-2</v>
      </c>
      <c r="J88" s="5">
        <v>55</v>
      </c>
      <c r="K88" s="5">
        <v>2850</v>
      </c>
      <c r="L88" s="5">
        <v>13</v>
      </c>
      <c r="M88" s="5">
        <v>72</v>
      </c>
      <c r="N88" s="42">
        <v>2</v>
      </c>
      <c r="O88" s="5">
        <v>89</v>
      </c>
      <c r="P88" s="5">
        <v>1009</v>
      </c>
      <c r="Q88" s="5" t="s">
        <v>11</v>
      </c>
      <c r="R88" s="5">
        <v>2</v>
      </c>
      <c r="S88" s="5" t="s">
        <v>17</v>
      </c>
      <c r="T88" s="43" t="str">
        <f t="shared" si="23"/>
        <v>غير محدد</v>
      </c>
      <c r="U88" s="5" t="str" cm="1">
        <f t="array" ref="U88">IFERROR(MID(S88,MATCH(TRUE,ISNUMBER(1*MID(S88,ROW($1:$10),1)),0),COUNT(1*MID(S88,ROW($1:$10),1))),"غير محدد")</f>
        <v>غير محدد</v>
      </c>
      <c r="V88" s="32" t="s">
        <v>93</v>
      </c>
      <c r="W88" s="26">
        <f>'اسيوط الوادي'!$K82/'اسيوط الوادي'!$P82</f>
        <v>5.5600961538461542</v>
      </c>
      <c r="X88" s="22">
        <f t="shared" si="24"/>
        <v>0.15384615384615385</v>
      </c>
      <c r="Y88" s="22">
        <f t="shared" si="25"/>
        <v>0.18055555555555555</v>
      </c>
      <c r="Z88" s="26">
        <f t="shared" si="26"/>
        <v>1.6181818181818182</v>
      </c>
      <c r="AA88" s="22" t="str">
        <f t="shared" ca="1" si="27"/>
        <v xml:space="preserve">0 </v>
      </c>
      <c r="AB88" s="5"/>
      <c r="AC88" s="5"/>
    </row>
    <row r="89" spans="1:29" ht="25.15" customHeight="1" x14ac:dyDescent="0.2">
      <c r="A89" s="5" t="s">
        <v>71</v>
      </c>
      <c r="B89" s="5" t="s">
        <v>15</v>
      </c>
      <c r="C89" s="6" t="s">
        <v>19</v>
      </c>
      <c r="D89" s="40">
        <v>45175</v>
      </c>
      <c r="F89" s="5" t="str">
        <f t="shared" ca="1" si="22"/>
        <v xml:space="preserve">3  m 10  D </v>
      </c>
      <c r="G89" s="5">
        <v>5133</v>
      </c>
      <c r="H89" s="5">
        <v>91871</v>
      </c>
      <c r="I89" s="22">
        <f>الجدول3[[#This Row],[O2]]/الجدول3[[#This Row],[N2]]</f>
        <v>5.5871820269726029E-2</v>
      </c>
      <c r="J89" s="5">
        <v>21</v>
      </c>
      <c r="K89" s="5">
        <v>3867</v>
      </c>
      <c r="L89" s="5">
        <v>16</v>
      </c>
      <c r="M89" s="5">
        <v>90</v>
      </c>
      <c r="N89" s="42">
        <v>0</v>
      </c>
      <c r="O89" s="5">
        <v>42</v>
      </c>
      <c r="P89" s="5">
        <v>418</v>
      </c>
      <c r="Q89" s="5" t="s">
        <v>25</v>
      </c>
      <c r="R89" s="5" t="s">
        <v>90</v>
      </c>
      <c r="S89" s="5" t="s">
        <v>12</v>
      </c>
      <c r="T89" s="43" t="str">
        <f t="shared" si="23"/>
        <v>غير محدد</v>
      </c>
      <c r="U89" s="5" t="str" cm="1">
        <f t="array" ref="U89">IFERROR(MID(S89,MATCH(TRUE,ISNUMBER(1*MID(S89,ROW($1:$10),1)),0),COUNT(1*MID(S89,ROW($1:$10),1))),"غير محدد")</f>
        <v>غير محدد</v>
      </c>
      <c r="V89" s="32" t="s">
        <v>93</v>
      </c>
      <c r="W89" s="26">
        <f>'اسيوط الوادي'!$K83/'اسيوط الوادي'!$P83</f>
        <v>5.6905222437137333</v>
      </c>
      <c r="X89" s="22">
        <f t="shared" si="24"/>
        <v>0</v>
      </c>
      <c r="Y89" s="22">
        <f t="shared" si="25"/>
        <v>0.17777777777777778</v>
      </c>
      <c r="Z89" s="26">
        <f t="shared" si="26"/>
        <v>2</v>
      </c>
      <c r="AA89" s="22" t="str">
        <f t="shared" ca="1" si="27"/>
        <v xml:space="preserve">0 </v>
      </c>
      <c r="AB89" s="5"/>
      <c r="AC89" s="5"/>
    </row>
    <row r="90" spans="1:29" ht="25.15" customHeight="1" x14ac:dyDescent="0.2">
      <c r="A90" s="5" t="s">
        <v>71</v>
      </c>
      <c r="B90" s="5" t="s">
        <v>15</v>
      </c>
      <c r="C90" s="6" t="s">
        <v>19</v>
      </c>
      <c r="D90" s="40">
        <v>45874</v>
      </c>
      <c r="F90" s="5" t="str">
        <f t="shared" ca="1" si="22"/>
        <v xml:space="preserve">4  m 11  D </v>
      </c>
      <c r="G90" s="5">
        <v>1890</v>
      </c>
      <c r="H90" s="5">
        <v>124027</v>
      </c>
      <c r="I90" s="22">
        <f>الجدول3[[#This Row],[O2]]/الجدول3[[#This Row],[N2]]</f>
        <v>1.5238617397824667E-2</v>
      </c>
      <c r="J90" s="5">
        <v>19</v>
      </c>
      <c r="K90" s="5">
        <v>9025</v>
      </c>
      <c r="L90" s="5">
        <v>12</v>
      </c>
      <c r="M90" s="5">
        <v>252</v>
      </c>
      <c r="N90" s="42">
        <v>0</v>
      </c>
      <c r="O90" s="5">
        <v>27</v>
      </c>
      <c r="P90" s="5">
        <v>630</v>
      </c>
      <c r="Q90" s="5" t="s">
        <v>25</v>
      </c>
      <c r="R90" s="5" t="s">
        <v>90</v>
      </c>
      <c r="S90" s="5" t="s">
        <v>153</v>
      </c>
      <c r="T90" s="43">
        <f t="shared" si="23"/>
        <v>45966</v>
      </c>
      <c r="U90" s="5" t="str" cm="1">
        <f t="array" ref="U90">IFERROR(MID(S90,MATCH(TRUE,ISNUMBER(1*MID(S90,ROW($1:$10),1)),0),COUNT(1*MID(S90,ROW($1:$10),1))),"غير محدد")</f>
        <v>3</v>
      </c>
      <c r="V90" s="32" t="s">
        <v>57</v>
      </c>
      <c r="W90" s="26">
        <f>'اسيوط الوادي'!$K84/'اسيوط الوادي'!$P84</f>
        <v>3.6389413988657844</v>
      </c>
      <c r="X90" s="22">
        <f t="shared" si="24"/>
        <v>0</v>
      </c>
      <c r="Y90" s="22">
        <f t="shared" si="25"/>
        <v>4.7619047619047616E-2</v>
      </c>
      <c r="Z90" s="26">
        <f t="shared" si="26"/>
        <v>1.4210526315789473</v>
      </c>
      <c r="AA90" s="22" t="str">
        <f t="shared" ca="1" si="27"/>
        <v xml:space="preserve">11   </v>
      </c>
      <c r="AB90" s="5"/>
      <c r="AC90" s="5"/>
    </row>
    <row r="91" spans="1:29" ht="25.15" customHeight="1" x14ac:dyDescent="0.2">
      <c r="A91" s="5" t="s">
        <v>71</v>
      </c>
      <c r="B91" s="5" t="s">
        <v>24</v>
      </c>
      <c r="C91" s="6" t="s">
        <v>19</v>
      </c>
      <c r="D91" s="40">
        <v>45056</v>
      </c>
      <c r="F91" s="5" t="str">
        <f t="shared" ca="1" si="22"/>
        <v xml:space="preserve">7  m 6  D </v>
      </c>
      <c r="G91" s="5">
        <v>1162</v>
      </c>
      <c r="H91" s="5">
        <v>92069</v>
      </c>
      <c r="I91" s="22">
        <f>الجدول3[[#This Row],[O2]]/الجدول3[[#This Row],[N2]]</f>
        <v>1.2620969055816833E-2</v>
      </c>
      <c r="J91" s="5">
        <v>42</v>
      </c>
      <c r="K91" s="5">
        <v>2471</v>
      </c>
      <c r="L91" s="5">
        <v>19</v>
      </c>
      <c r="M91" s="5">
        <v>91</v>
      </c>
      <c r="N91" s="42">
        <v>0</v>
      </c>
      <c r="O91" s="5">
        <v>86</v>
      </c>
      <c r="P91" s="5">
        <v>785</v>
      </c>
      <c r="Q91" s="5" t="s">
        <v>11</v>
      </c>
      <c r="R91" s="5">
        <v>2</v>
      </c>
      <c r="S91" s="5" t="s">
        <v>17</v>
      </c>
      <c r="T91" s="43" t="str">
        <f t="shared" si="23"/>
        <v>غير محدد</v>
      </c>
      <c r="U91" s="5" t="str" cm="1">
        <f t="array" ref="U91">IFERROR(MID(S91,MATCH(TRUE,ISNUMBER(1*MID(S91,ROW($1:$10),1)),0),COUNT(1*MID(S91,ROW($1:$10),1))),"غير محدد")</f>
        <v>غير محدد</v>
      </c>
      <c r="V91" s="32" t="s">
        <v>93</v>
      </c>
      <c r="W91" s="26">
        <f>'اسيوط الوادي'!$K84/'اسيوط الوادي'!$P84</f>
        <v>3.6389413988657844</v>
      </c>
      <c r="X91" s="22">
        <f t="shared" si="24"/>
        <v>0</v>
      </c>
      <c r="Y91" s="22">
        <f t="shared" si="25"/>
        <v>0.2087912087912088</v>
      </c>
      <c r="Z91" s="26">
        <f t="shared" si="26"/>
        <v>2.0476190476190474</v>
      </c>
      <c r="AA91" s="22" t="str">
        <f t="shared" ca="1" si="27"/>
        <v xml:space="preserve">0 </v>
      </c>
      <c r="AB91" s="5"/>
      <c r="AC91" s="5"/>
    </row>
    <row r="92" spans="1:29" ht="25.15" customHeight="1" x14ac:dyDescent="0.2">
      <c r="A92" s="5" t="s">
        <v>71</v>
      </c>
      <c r="B92" s="5" t="s">
        <v>24</v>
      </c>
      <c r="C92" s="6" t="s">
        <v>19</v>
      </c>
      <c r="D92" s="40">
        <v>45175</v>
      </c>
      <c r="F92" s="5" t="str">
        <f t="shared" ca="1" si="22"/>
        <v xml:space="preserve">3  m 10  D </v>
      </c>
      <c r="G92" s="5">
        <v>9827</v>
      </c>
      <c r="H92" s="5">
        <v>151775</v>
      </c>
      <c r="I92" s="22">
        <f>الجدول3[[#This Row],[O2]]/الجدول3[[#This Row],[N2]]</f>
        <v>6.4747158622961626E-2</v>
      </c>
      <c r="J92" s="5">
        <v>46</v>
      </c>
      <c r="K92" s="5">
        <v>3322</v>
      </c>
      <c r="L92" s="5">
        <v>21</v>
      </c>
      <c r="M92" s="5">
        <v>151</v>
      </c>
      <c r="N92" s="42">
        <v>0</v>
      </c>
      <c r="O92" s="5">
        <v>59</v>
      </c>
      <c r="P92" s="5">
        <v>706</v>
      </c>
      <c r="Q92" s="5" t="s">
        <v>25</v>
      </c>
      <c r="R92" s="5" t="s">
        <v>90</v>
      </c>
      <c r="S92" s="5" t="s">
        <v>12</v>
      </c>
      <c r="T92" s="43" t="str">
        <f t="shared" si="23"/>
        <v>غير محدد</v>
      </c>
      <c r="U92" s="5" t="str" cm="1">
        <f t="array" ref="U92">IFERROR(MID(S92,MATCH(TRUE,ISNUMBER(1*MID(S92,ROW($1:$10),1)),0),COUNT(1*MID(S92,ROW($1:$10),1))),"غير محدد")</f>
        <v>غير محدد</v>
      </c>
      <c r="V92" s="32" t="s">
        <v>57</v>
      </c>
      <c r="W92" s="26">
        <f>'اسيوط الوادي'!$K85/'اسيوط الوادي'!$P85</f>
        <v>5.0426008968609866</v>
      </c>
      <c r="X92" s="22">
        <f t="shared" si="24"/>
        <v>0</v>
      </c>
      <c r="Y92" s="22">
        <f t="shared" si="25"/>
        <v>0.13907284768211919</v>
      </c>
      <c r="Z92" s="26">
        <f t="shared" si="26"/>
        <v>1.2826086956521738</v>
      </c>
      <c r="AA92" s="22" t="str">
        <f t="shared" ca="1" si="27"/>
        <v xml:space="preserve">0 </v>
      </c>
      <c r="AB92" s="5"/>
      <c r="AC92" s="5"/>
    </row>
    <row r="93" spans="1:29" ht="25.15" customHeight="1" x14ac:dyDescent="0.2">
      <c r="A93" s="5" t="s">
        <v>71</v>
      </c>
      <c r="B93" s="5" t="s">
        <v>39</v>
      </c>
      <c r="C93" s="6" t="s">
        <v>19</v>
      </c>
      <c r="D93" s="40">
        <v>45056</v>
      </c>
      <c r="F93" s="5" t="str">
        <f t="shared" ca="1" si="22"/>
        <v xml:space="preserve">7  m 6  D </v>
      </c>
      <c r="G93" s="5">
        <v>7107</v>
      </c>
      <c r="H93" s="5">
        <v>99163</v>
      </c>
      <c r="I93" s="22">
        <f>الجدول3[[#This Row],[O2]]/الجدول3[[#This Row],[N2]]</f>
        <v>7.1669876869396854E-2</v>
      </c>
      <c r="J93" s="5">
        <v>151</v>
      </c>
      <c r="K93" s="5">
        <v>4344</v>
      </c>
      <c r="L93" s="5">
        <v>22</v>
      </c>
      <c r="M93" s="5">
        <v>76</v>
      </c>
      <c r="N93" s="42">
        <v>0</v>
      </c>
      <c r="O93" s="5">
        <v>68</v>
      </c>
      <c r="P93" s="5">
        <v>764</v>
      </c>
      <c r="Q93" s="5" t="s">
        <v>25</v>
      </c>
      <c r="R93" s="5">
        <v>2</v>
      </c>
      <c r="S93" s="5" t="s">
        <v>17</v>
      </c>
      <c r="T93" s="43" t="str">
        <f t="shared" si="23"/>
        <v>غير محدد</v>
      </c>
      <c r="U93" s="5" t="str" cm="1">
        <f t="array" ref="U93">IFERROR(MID(S93,MATCH(TRUE,ISNUMBER(1*MID(S93,ROW($1:$10),1)),0),COUNT(1*MID(S93,ROW($1:$10),1))),"غير محدد")</f>
        <v>غير محدد</v>
      </c>
      <c r="V93" s="32" t="s">
        <v>93</v>
      </c>
      <c r="W93" s="26">
        <f>'اسيوط الوادي'!$K88/'اسيوط الوادي'!$P88</f>
        <v>2.8245787908820614</v>
      </c>
      <c r="X93" s="22">
        <f t="shared" si="24"/>
        <v>0</v>
      </c>
      <c r="Y93" s="22">
        <f t="shared" si="25"/>
        <v>0.28947368421052633</v>
      </c>
      <c r="Z93" s="26">
        <f t="shared" si="26"/>
        <v>0.45033112582781459</v>
      </c>
      <c r="AA93" s="22" t="str">
        <f t="shared" ca="1" si="27"/>
        <v xml:space="preserve">0 </v>
      </c>
      <c r="AB93" s="5"/>
      <c r="AC93" s="5"/>
    </row>
    <row r="94" spans="1:29" ht="25.15" customHeight="1" x14ac:dyDescent="0.2">
      <c r="A94" s="5" t="s">
        <v>71</v>
      </c>
      <c r="B94" s="5" t="s">
        <v>39</v>
      </c>
      <c r="C94" s="6" t="s">
        <v>19</v>
      </c>
      <c r="D94" s="40">
        <v>45175</v>
      </c>
      <c r="F94" s="5" t="str">
        <f t="shared" ca="1" si="22"/>
        <v xml:space="preserve">3  m 10  D </v>
      </c>
      <c r="G94" s="5">
        <v>754</v>
      </c>
      <c r="H94" s="5">
        <v>91451</v>
      </c>
      <c r="I94" s="22">
        <f>الجدول3[[#This Row],[O2]]/الجدول3[[#This Row],[N2]]</f>
        <v>8.2448524346371288E-3</v>
      </c>
      <c r="J94" s="5">
        <v>323</v>
      </c>
      <c r="K94" s="5">
        <v>3598</v>
      </c>
      <c r="L94" s="5">
        <v>20</v>
      </c>
      <c r="M94" s="5">
        <v>30</v>
      </c>
      <c r="N94" s="42">
        <v>0</v>
      </c>
      <c r="O94" s="5">
        <v>10</v>
      </c>
      <c r="P94" s="5">
        <v>754</v>
      </c>
      <c r="Q94" s="5" t="s">
        <v>13</v>
      </c>
      <c r="R94" s="5" t="s">
        <v>90</v>
      </c>
      <c r="S94" s="5" t="s">
        <v>12</v>
      </c>
      <c r="T94" s="43" t="str">
        <f t="shared" si="23"/>
        <v>غير محدد</v>
      </c>
      <c r="U94" s="5" t="str" cm="1">
        <f t="array" ref="U94">IFERROR(MID(S94,MATCH(TRUE,ISNUMBER(1*MID(S94,ROW($1:$10),1)),0),COUNT(1*MID(S94,ROW($1:$10),1))),"غير محدد")</f>
        <v>غير محدد</v>
      </c>
      <c r="V94" s="32" t="s">
        <v>93</v>
      </c>
      <c r="W94" s="26">
        <f>'اسيوط الوادي'!$K89/'اسيوط الوادي'!$P89</f>
        <v>9.2511961722488039</v>
      </c>
      <c r="X94" s="22">
        <f t="shared" si="24"/>
        <v>0</v>
      </c>
      <c r="Y94" s="22">
        <f t="shared" si="25"/>
        <v>0.66666666666666663</v>
      </c>
      <c r="Z94" s="26">
        <f t="shared" si="26"/>
        <v>3.0959752321981424E-2</v>
      </c>
      <c r="AA94" s="22" t="str">
        <f t="shared" ca="1" si="27"/>
        <v xml:space="preserve">0 </v>
      </c>
      <c r="AB94" s="5"/>
      <c r="AC94" s="5"/>
    </row>
    <row r="95" spans="1:29" ht="25.15" customHeight="1" x14ac:dyDescent="0.2">
      <c r="A95" s="5" t="s">
        <v>71</v>
      </c>
      <c r="B95" s="5" t="s">
        <v>39</v>
      </c>
      <c r="C95" s="6" t="s">
        <v>19</v>
      </c>
      <c r="D95" s="40">
        <v>45271</v>
      </c>
      <c r="F95" s="5" t="str">
        <f t="shared" ca="1" si="22"/>
        <v xml:space="preserve">0  m 5  D </v>
      </c>
      <c r="G95" s="5">
        <v>1765</v>
      </c>
      <c r="H95" s="5">
        <v>62451</v>
      </c>
      <c r="I95" s="22">
        <f>الجدول3[[#This Row],[O2]]/الجدول3[[#This Row],[N2]]</f>
        <v>2.8262157531504701E-2</v>
      </c>
      <c r="J95" s="5">
        <v>111</v>
      </c>
      <c r="K95" s="5">
        <v>3139</v>
      </c>
      <c r="L95" s="5">
        <v>3</v>
      </c>
      <c r="M95" s="5">
        <v>7</v>
      </c>
      <c r="N95" s="42">
        <v>0</v>
      </c>
      <c r="O95" s="5">
        <v>2</v>
      </c>
      <c r="P95" s="5">
        <v>489</v>
      </c>
      <c r="Q95" s="5" t="s">
        <v>10</v>
      </c>
      <c r="R95" s="5" t="s">
        <v>96</v>
      </c>
      <c r="S95" s="5" t="s">
        <v>12</v>
      </c>
      <c r="T95" s="43" t="str">
        <f t="shared" si="23"/>
        <v>غير محدد</v>
      </c>
      <c r="U95" s="5" t="str" cm="1">
        <f t="array" ref="U95">IFERROR(MID(S95,MATCH(TRUE,ISNUMBER(1*MID(S95,ROW($1:$10),1)),0),COUNT(1*MID(S95,ROW($1:$10),1))),"غير محدد")</f>
        <v>غير محدد</v>
      </c>
      <c r="V95" s="32" t="s">
        <v>93</v>
      </c>
      <c r="W95" s="26">
        <f>'اسيوط الوادي'!$K91/'اسيوط الوادي'!$P91</f>
        <v>3.1477707006369426</v>
      </c>
      <c r="X95" s="22">
        <f t="shared" si="24"/>
        <v>0</v>
      </c>
      <c r="Y95" s="22">
        <f t="shared" si="25"/>
        <v>0.42857142857142855</v>
      </c>
      <c r="Z95" s="26">
        <f t="shared" si="26"/>
        <v>1.8018018018018018E-2</v>
      </c>
      <c r="AA95" s="22" t="str">
        <f t="shared" ca="1" si="27"/>
        <v xml:space="preserve">0 </v>
      </c>
      <c r="AB95" s="5"/>
      <c r="AC95" s="5"/>
    </row>
    <row r="96" spans="1:29" ht="25.15" customHeight="1" x14ac:dyDescent="0.2">
      <c r="A96" s="5" t="s">
        <v>71</v>
      </c>
      <c r="B96" s="5" t="s">
        <v>39</v>
      </c>
      <c r="C96" s="6" t="s">
        <v>19</v>
      </c>
      <c r="D96" s="40">
        <v>45420</v>
      </c>
      <c r="F96" s="5" t="str">
        <f t="shared" ca="1" si="22"/>
        <v xml:space="preserve">7  m 8  D </v>
      </c>
      <c r="G96" s="5">
        <v>2599</v>
      </c>
      <c r="H96" s="5">
        <v>75626</v>
      </c>
      <c r="I96" s="22">
        <f>الجدول3[[#This Row],[O2]]/الجدول3[[#This Row],[N2]]</f>
        <v>3.4366487715864917E-2</v>
      </c>
      <c r="J96" s="5">
        <v>126</v>
      </c>
      <c r="K96" s="5">
        <v>2709</v>
      </c>
      <c r="L96" s="5">
        <v>1</v>
      </c>
      <c r="M96" s="5">
        <v>6</v>
      </c>
      <c r="N96" s="42">
        <v>0</v>
      </c>
      <c r="O96" s="5">
        <v>4</v>
      </c>
      <c r="P96" s="5">
        <v>422</v>
      </c>
      <c r="Q96" s="5" t="s">
        <v>10</v>
      </c>
      <c r="R96" s="5" t="s">
        <v>96</v>
      </c>
      <c r="S96" s="5" t="s">
        <v>151</v>
      </c>
      <c r="T96" s="43">
        <f t="shared" si="23"/>
        <v>45451</v>
      </c>
      <c r="U96" s="5" t="str" cm="1">
        <f t="array" ref="U96">IFERROR(MID(S96,MATCH(TRUE,ISNUMBER(1*MID(S96,ROW($1:$10),1)),0),COUNT(1*MID(S96,ROW($1:$10),1))),"غير محدد")</f>
        <v>1</v>
      </c>
      <c r="V96" s="32" t="s">
        <v>93</v>
      </c>
      <c r="W96" s="26">
        <f>'اسيوط الوادي'!$K92/'اسيوط الوادي'!$P92</f>
        <v>4.7053824362606234</v>
      </c>
      <c r="X96" s="22">
        <f t="shared" si="24"/>
        <v>0</v>
      </c>
      <c r="Y96" s="22">
        <f t="shared" si="25"/>
        <v>0.16666666666666666</v>
      </c>
      <c r="Z96" s="26">
        <f t="shared" si="26"/>
        <v>3.1746031746031744E-2</v>
      </c>
      <c r="AA96" s="22" t="str">
        <f t="shared" ca="1" si="27"/>
        <v xml:space="preserve">8   </v>
      </c>
      <c r="AB96" s="5"/>
      <c r="AC96" s="5"/>
    </row>
    <row r="97" spans="1:29" ht="25.15" customHeight="1" x14ac:dyDescent="0.2">
      <c r="A97" s="5" t="s">
        <v>71</v>
      </c>
      <c r="B97" s="5" t="s">
        <v>39</v>
      </c>
      <c r="C97" s="6" t="s">
        <v>19</v>
      </c>
      <c r="D97" s="40">
        <v>45544</v>
      </c>
      <c r="F97" s="5" t="str">
        <f t="shared" ca="1" si="22"/>
        <v xml:space="preserve">3  m 7  D </v>
      </c>
      <c r="G97" s="5">
        <v>6121</v>
      </c>
      <c r="H97" s="5">
        <v>80327</v>
      </c>
      <c r="I97" s="22">
        <f>الجدول3[[#This Row],[O2]]/الجدول3[[#This Row],[N2]]</f>
        <v>7.6201028296836684E-2</v>
      </c>
      <c r="J97" s="5">
        <v>172</v>
      </c>
      <c r="K97" s="5">
        <v>4755</v>
      </c>
      <c r="L97" s="5">
        <v>7</v>
      </c>
      <c r="M97" s="5">
        <v>27</v>
      </c>
      <c r="N97" s="42">
        <v>0</v>
      </c>
      <c r="O97" s="5">
        <v>13</v>
      </c>
      <c r="P97" s="5">
        <v>484</v>
      </c>
      <c r="Q97" s="5" t="s">
        <v>10</v>
      </c>
      <c r="R97" s="5" t="s">
        <v>90</v>
      </c>
      <c r="S97" s="5" t="s">
        <v>151</v>
      </c>
      <c r="T97" s="43">
        <f t="shared" si="23"/>
        <v>45574</v>
      </c>
      <c r="U97" s="5" t="str" cm="1">
        <f t="array" ref="U97">IFERROR(MID(S97,MATCH(TRUE,ISNUMBER(1*MID(S97,ROW($1:$10),1)),0),COUNT(1*MID(S97,ROW($1:$10),1))),"غير محدد")</f>
        <v>1</v>
      </c>
      <c r="V97" s="32" t="s">
        <v>57</v>
      </c>
      <c r="W97" s="26">
        <f>'اسيوط الوادي'!$K93/'اسيوط الوادي'!$P93</f>
        <v>5.6858638743455501</v>
      </c>
      <c r="X97" s="22">
        <f t="shared" si="24"/>
        <v>0</v>
      </c>
      <c r="Y97" s="22">
        <f t="shared" si="25"/>
        <v>0.25925925925925924</v>
      </c>
      <c r="Z97" s="26">
        <f t="shared" si="26"/>
        <v>7.5581395348837205E-2</v>
      </c>
      <c r="AA97" s="22" t="str">
        <f t="shared" ca="1" si="27"/>
        <v xml:space="preserve">7   </v>
      </c>
      <c r="AB97" s="5"/>
      <c r="AC97" s="5"/>
    </row>
    <row r="98" spans="1:29" ht="25.15" customHeight="1" x14ac:dyDescent="0.2">
      <c r="A98" s="5" t="s">
        <v>74</v>
      </c>
      <c r="B98" s="5" t="s">
        <v>100</v>
      </c>
      <c r="C98" s="6">
        <v>500</v>
      </c>
      <c r="D98" s="40">
        <v>45176</v>
      </c>
      <c r="F98" s="5" t="str">
        <f t="shared" ca="1" si="22"/>
        <v xml:space="preserve">3  m 9  D </v>
      </c>
      <c r="G98" s="5">
        <v>3676</v>
      </c>
      <c r="H98" s="5">
        <v>44383</v>
      </c>
      <c r="I98" s="22">
        <f>الجدول3[[#This Row],[O2]]/الجدول3[[#This Row],[N2]]</f>
        <v>8.2824504877993824E-2</v>
      </c>
      <c r="J98" s="5">
        <v>23</v>
      </c>
      <c r="K98" s="5">
        <v>3587</v>
      </c>
      <c r="L98" s="5">
        <v>1</v>
      </c>
      <c r="M98" s="5">
        <v>14</v>
      </c>
      <c r="N98" s="42">
        <v>0</v>
      </c>
      <c r="O98" s="5">
        <v>5</v>
      </c>
      <c r="P98" s="5">
        <v>971</v>
      </c>
      <c r="Q98" s="5" t="s">
        <v>11</v>
      </c>
      <c r="R98" s="5" t="s">
        <v>90</v>
      </c>
      <c r="S98" s="5" t="s">
        <v>99</v>
      </c>
      <c r="T98" s="43" t="str">
        <f t="shared" si="23"/>
        <v>غير محدد</v>
      </c>
      <c r="U98" s="5" t="str" cm="1">
        <f t="array" ref="U98">IFERROR(MID(S98,MATCH(TRUE,ISNUMBER(1*MID(S98,ROW($1:$10),1)),0),COUNT(1*MID(S98,ROW($1:$10),1))),"غير محدد")</f>
        <v>غير محدد</v>
      </c>
      <c r="V98" s="32" t="s">
        <v>93</v>
      </c>
      <c r="W98" s="26">
        <f>'اسيوط الوادي'!$K94/'اسيوط الوادي'!$P94</f>
        <v>4.7718832891246681</v>
      </c>
      <c r="X98" s="22">
        <f t="shared" si="24"/>
        <v>0</v>
      </c>
      <c r="Y98" s="22">
        <f t="shared" si="25"/>
        <v>7.1428571428571425E-2</v>
      </c>
      <c r="Z98" s="26">
        <f t="shared" si="26"/>
        <v>0.21739130434782608</v>
      </c>
      <c r="AA98" s="22" t="str">
        <f t="shared" ca="1" si="27"/>
        <v xml:space="preserve">0 </v>
      </c>
      <c r="AB98" s="5"/>
      <c r="AC98" s="5"/>
    </row>
    <row r="99" spans="1:29" ht="25.15" customHeight="1" x14ac:dyDescent="0.2">
      <c r="A99" s="5" t="s">
        <v>74</v>
      </c>
      <c r="B99" s="5" t="s">
        <v>100</v>
      </c>
      <c r="C99" s="6">
        <v>500</v>
      </c>
      <c r="D99" s="40">
        <v>45271</v>
      </c>
      <c r="F99" s="5" t="str">
        <f t="shared" ca="1" si="22"/>
        <v xml:space="preserve">0  m 5  D </v>
      </c>
      <c r="G99" s="5">
        <v>6099</v>
      </c>
      <c r="H99" s="5">
        <v>46552</v>
      </c>
      <c r="I99" s="22">
        <f>الجدول3[[#This Row],[O2]]/الجدول3[[#This Row],[N2]]</f>
        <v>0.13101477917167897</v>
      </c>
      <c r="J99" s="5">
        <v>11</v>
      </c>
      <c r="K99" s="5">
        <v>5809</v>
      </c>
      <c r="L99" s="5">
        <v>3</v>
      </c>
      <c r="M99" s="5">
        <v>2</v>
      </c>
      <c r="N99" s="42">
        <v>0</v>
      </c>
      <c r="O99" s="5">
        <v>1</v>
      </c>
      <c r="P99" s="5">
        <v>1870</v>
      </c>
      <c r="Q99" s="5" t="s">
        <v>13</v>
      </c>
      <c r="R99" s="5" t="s">
        <v>90</v>
      </c>
      <c r="S99" s="5" t="s">
        <v>99</v>
      </c>
      <c r="T99" s="43" t="str">
        <f t="shared" si="23"/>
        <v>غير محدد</v>
      </c>
      <c r="U99" s="5" t="str" cm="1">
        <f t="array" ref="U99">IFERROR(MID(S99,MATCH(TRUE,ISNUMBER(1*MID(S99,ROW($1:$10),1)),0),COUNT(1*MID(S99,ROW($1:$10),1))),"غير محدد")</f>
        <v>غير محدد</v>
      </c>
      <c r="V99" s="32" t="s">
        <v>57</v>
      </c>
      <c r="W99" s="26">
        <f>'اسيوط الوادي'!$K95/'اسيوط الوادي'!$P95</f>
        <v>6.4192229038854807</v>
      </c>
      <c r="X99" s="22">
        <f t="shared" si="24"/>
        <v>0</v>
      </c>
      <c r="Y99" s="22">
        <f t="shared" si="25"/>
        <v>1.5</v>
      </c>
      <c r="Z99" s="26">
        <f t="shared" si="26"/>
        <v>9.0909090909090912E-2</v>
      </c>
      <c r="AA99" s="22" t="str">
        <f t="shared" ca="1" si="27"/>
        <v xml:space="preserve">0 </v>
      </c>
      <c r="AB99" s="5"/>
      <c r="AC99" s="5"/>
    </row>
    <row r="100" spans="1:29" ht="25.15" customHeight="1" x14ac:dyDescent="0.2">
      <c r="A100" s="5" t="s">
        <v>74</v>
      </c>
      <c r="B100" s="5" t="s">
        <v>101</v>
      </c>
      <c r="C100" s="6">
        <v>500</v>
      </c>
      <c r="D100" s="40">
        <v>45177</v>
      </c>
      <c r="F100" s="5" t="str">
        <f t="shared" ref="F100:F133" ca="1" si="28">IFERROR(DATEDIF(D100,TODAY(),"YM") &amp; "  m " &amp; DATEDIF(D100,TODAY(),"MD") &amp; "  D "," ")</f>
        <v xml:space="preserve">3  m 8  D </v>
      </c>
      <c r="G100" s="5">
        <v>1689</v>
      </c>
      <c r="H100" s="5">
        <v>41345</v>
      </c>
      <c r="I100" s="22">
        <f>الجدول3[[#This Row],[O2]]/الجدول3[[#This Row],[N2]]</f>
        <v>4.085137259644455E-2</v>
      </c>
      <c r="J100" s="5">
        <v>9</v>
      </c>
      <c r="K100" s="5">
        <v>2662</v>
      </c>
      <c r="L100" s="5">
        <v>1</v>
      </c>
      <c r="M100" s="5">
        <v>6</v>
      </c>
      <c r="N100" s="42">
        <v>0</v>
      </c>
      <c r="O100" s="5">
        <v>1</v>
      </c>
      <c r="P100" s="5">
        <v>1030</v>
      </c>
      <c r="Q100" s="5" t="s">
        <v>25</v>
      </c>
      <c r="R100" s="5" t="s">
        <v>90</v>
      </c>
      <c r="S100" s="5" t="s">
        <v>99</v>
      </c>
      <c r="T100" s="43" t="str">
        <f t="shared" ref="T100:T133" si="29">IFERROR(IF(V100&gt;=1,EDATE(D100,U100),"غير محدد"),"غير محدد")</f>
        <v>غير محدد</v>
      </c>
      <c r="U100" s="5" t="str" cm="1">
        <f t="array" ref="U100">IFERROR(MID(S100,MATCH(TRUE,ISNUMBER(1*MID(S100,ROW($1:$10),1)),0),COUNT(1*MID(S100,ROW($1:$10),1))),"غير محدد")</f>
        <v>غير محدد</v>
      </c>
      <c r="V100" s="32" t="s">
        <v>93</v>
      </c>
      <c r="W100" s="26">
        <f>'اسيوط الوادي'!$K96/'اسيوط الوادي'!$P96</f>
        <v>6.419431279620853</v>
      </c>
      <c r="X100" s="22">
        <f t="shared" ref="X100:X133" si="30">N100/L100</f>
        <v>0</v>
      </c>
      <c r="Y100" s="22">
        <f t="shared" ref="Y100:Y133" si="31">L100/M100</f>
        <v>0.16666666666666666</v>
      </c>
      <c r="Z100" s="26">
        <f t="shared" ref="Z100:Z133" si="32">O100/J100</f>
        <v>0.1111111111111111</v>
      </c>
      <c r="AA100" s="22" t="str">
        <f t="shared" ref="AA100:AA133" ca="1" si="33">IFERROR(DATEDIF(T100,TODAY(),"MD") &amp; "   ","0 ")</f>
        <v xml:space="preserve">0 </v>
      </c>
      <c r="AB100" s="5"/>
      <c r="AC100" s="5"/>
    </row>
    <row r="101" spans="1:29" ht="25.15" customHeight="1" x14ac:dyDescent="0.2">
      <c r="A101" s="5" t="s">
        <v>74</v>
      </c>
      <c r="B101" s="5" t="s">
        <v>101</v>
      </c>
      <c r="C101" s="6">
        <v>500</v>
      </c>
      <c r="D101" s="40">
        <v>45271</v>
      </c>
      <c r="F101" s="5" t="str">
        <f t="shared" ca="1" si="28"/>
        <v xml:space="preserve">0  m 5  D </v>
      </c>
      <c r="G101" s="5">
        <v>8640</v>
      </c>
      <c r="H101" s="5">
        <v>64151</v>
      </c>
      <c r="I101" s="22">
        <f>الجدول3[[#This Row],[O2]]/الجدول3[[#This Row],[N2]]</f>
        <v>0.13468223410391109</v>
      </c>
      <c r="J101" s="5">
        <v>9</v>
      </c>
      <c r="K101" s="5">
        <v>5649</v>
      </c>
      <c r="L101" s="5">
        <v>2</v>
      </c>
      <c r="M101" s="5">
        <v>2</v>
      </c>
      <c r="N101" s="42">
        <v>0</v>
      </c>
      <c r="O101" s="5">
        <v>1</v>
      </c>
      <c r="P101" s="5">
        <v>1963</v>
      </c>
      <c r="Q101" s="5" t="s">
        <v>13</v>
      </c>
      <c r="R101" s="5" t="s">
        <v>90</v>
      </c>
      <c r="S101" s="5" t="s">
        <v>99</v>
      </c>
      <c r="T101" s="43" t="str">
        <f t="shared" si="29"/>
        <v>غير محدد</v>
      </c>
      <c r="U101" s="5" t="str" cm="1">
        <f t="array" ref="U101">IFERROR(MID(S101,MATCH(TRUE,ISNUMBER(1*MID(S101,ROW($1:$10),1)),0),COUNT(1*MID(S101,ROW($1:$10),1))),"غير محدد")</f>
        <v>غير محدد</v>
      </c>
      <c r="V101" s="32" t="s">
        <v>57</v>
      </c>
      <c r="W101" s="26">
        <f>'اسيوط الوادي'!$K97/'اسيوط الوادي'!$P97</f>
        <v>9.8243801652892557</v>
      </c>
      <c r="X101" s="22">
        <f t="shared" si="30"/>
        <v>0</v>
      </c>
      <c r="Y101" s="22">
        <f t="shared" si="31"/>
        <v>1</v>
      </c>
      <c r="Z101" s="26">
        <f t="shared" si="32"/>
        <v>0.1111111111111111</v>
      </c>
      <c r="AA101" s="22" t="str">
        <f t="shared" ca="1" si="33"/>
        <v xml:space="preserve">0 </v>
      </c>
      <c r="AB101" s="5"/>
      <c r="AC101" s="5"/>
    </row>
    <row r="102" spans="1:29" ht="25.15" customHeight="1" x14ac:dyDescent="0.2">
      <c r="A102" s="5" t="s">
        <v>74</v>
      </c>
      <c r="B102" s="5" t="s">
        <v>130</v>
      </c>
      <c r="C102" s="6">
        <v>500</v>
      </c>
      <c r="D102" s="40">
        <v>45271</v>
      </c>
      <c r="F102" s="5" t="str">
        <f t="shared" ca="1" si="28"/>
        <v xml:space="preserve">0  m 5  D </v>
      </c>
      <c r="G102" s="5">
        <v>5597</v>
      </c>
      <c r="H102" s="5">
        <v>52176</v>
      </c>
      <c r="I102" s="22">
        <f>الجدول3[[#This Row],[O2]]/الجدول3[[#This Row],[N2]]</f>
        <v>0.10727154247163447</v>
      </c>
      <c r="J102" s="5">
        <v>22</v>
      </c>
      <c r="K102" s="5">
        <v>6012</v>
      </c>
      <c r="L102" s="5">
        <v>2</v>
      </c>
      <c r="M102" s="5">
        <v>2</v>
      </c>
      <c r="N102" s="42">
        <v>0</v>
      </c>
      <c r="O102" s="5">
        <v>1</v>
      </c>
      <c r="P102" s="5">
        <v>1782</v>
      </c>
      <c r="Q102" s="5" t="s">
        <v>13</v>
      </c>
      <c r="R102" s="5" t="s">
        <v>90</v>
      </c>
      <c r="S102" s="5" t="s">
        <v>99</v>
      </c>
      <c r="T102" s="43" t="str">
        <f t="shared" si="29"/>
        <v>غير محدد</v>
      </c>
      <c r="U102" s="5" t="str" cm="1">
        <f t="array" ref="U102">IFERROR(MID(S102,MATCH(TRUE,ISNUMBER(1*MID(S102,ROW($1:$10),1)),0),COUNT(1*MID(S102,ROW($1:$10),1))),"غير محدد")</f>
        <v>غير محدد</v>
      </c>
      <c r="V102" s="32" t="s">
        <v>93</v>
      </c>
      <c r="W102" s="26">
        <f>'اسيوط الوادي'!$K98/'اسيوط الوادي'!$P98</f>
        <v>3.694129763130793</v>
      </c>
      <c r="X102" s="22">
        <f t="shared" si="30"/>
        <v>0</v>
      </c>
      <c r="Y102" s="22">
        <f t="shared" si="31"/>
        <v>1</v>
      </c>
      <c r="Z102" s="26">
        <f t="shared" si="32"/>
        <v>4.5454545454545456E-2</v>
      </c>
      <c r="AA102" s="22" t="str">
        <f t="shared" ca="1" si="33"/>
        <v xml:space="preserve">0 </v>
      </c>
      <c r="AB102" s="5"/>
      <c r="AC102" s="5"/>
    </row>
    <row r="103" spans="1:29" ht="25.15" customHeight="1" x14ac:dyDescent="0.2">
      <c r="A103" s="5" t="s">
        <v>74</v>
      </c>
      <c r="B103" s="5" t="s">
        <v>130</v>
      </c>
      <c r="C103" s="6">
        <v>500</v>
      </c>
      <c r="D103" s="40">
        <v>45406</v>
      </c>
      <c r="F103" s="5" t="str">
        <f t="shared" ca="1" si="28"/>
        <v xml:space="preserve">7  m 22  D </v>
      </c>
      <c r="G103" s="5">
        <v>8814</v>
      </c>
      <c r="H103" s="5">
        <v>40185</v>
      </c>
      <c r="I103" s="22">
        <f>الجدول3[[#This Row],[O2]]/الجدول3[[#This Row],[N2]]</f>
        <v>0.21933557297499068</v>
      </c>
      <c r="J103" s="5">
        <v>11</v>
      </c>
      <c r="K103" s="5">
        <v>3871</v>
      </c>
      <c r="L103" s="5">
        <v>4</v>
      </c>
      <c r="M103" s="5">
        <v>5</v>
      </c>
      <c r="N103" s="42">
        <v>0</v>
      </c>
      <c r="O103" s="5">
        <v>3</v>
      </c>
      <c r="P103" s="5">
        <v>1171</v>
      </c>
      <c r="Q103" s="5" t="s">
        <v>10</v>
      </c>
      <c r="R103" s="5" t="s">
        <v>90</v>
      </c>
      <c r="S103" s="5" t="s">
        <v>173</v>
      </c>
      <c r="T103" s="43">
        <f t="shared" si="29"/>
        <v>45497</v>
      </c>
      <c r="U103" s="5" t="str" cm="1">
        <f t="array" ref="U103">IFERROR(MID(S103,MATCH(TRUE,ISNUMBER(1*MID(S103,ROW($1:$10),1)),0),COUNT(1*MID(S103,ROW($1:$10),1))),"غير محدد")</f>
        <v>3</v>
      </c>
      <c r="V103" s="32" t="s">
        <v>57</v>
      </c>
      <c r="W103" s="26">
        <f>'اسيوط الوادي'!$K99/'اسيوط الوادي'!$P99</f>
        <v>3.1064171122994653</v>
      </c>
      <c r="X103" s="22">
        <f t="shared" si="30"/>
        <v>0</v>
      </c>
      <c r="Y103" s="22">
        <f t="shared" si="31"/>
        <v>0.8</v>
      </c>
      <c r="Z103" s="26">
        <f t="shared" si="32"/>
        <v>0.27272727272727271</v>
      </c>
      <c r="AA103" s="22" t="str">
        <f t="shared" ca="1" si="33"/>
        <v xml:space="preserve">22   </v>
      </c>
      <c r="AB103" s="5"/>
      <c r="AC103" s="5"/>
    </row>
    <row r="104" spans="1:29" ht="25.15" customHeight="1" x14ac:dyDescent="0.2">
      <c r="A104" s="5" t="s">
        <v>74</v>
      </c>
      <c r="B104" s="5" t="s">
        <v>130</v>
      </c>
      <c r="C104" s="6">
        <v>500</v>
      </c>
      <c r="D104" s="40">
        <v>45795</v>
      </c>
      <c r="F104" s="5" t="str">
        <f t="shared" ca="1" si="28"/>
        <v xml:space="preserve">6  m 28  D </v>
      </c>
      <c r="G104" s="5">
        <v>11631</v>
      </c>
      <c r="H104" s="5">
        <v>50706</v>
      </c>
      <c r="I104" s="22">
        <f>الجدول3[[#This Row],[O2]]/الجدول3[[#This Row],[N2]]</f>
        <v>0.22938113832682522</v>
      </c>
      <c r="J104" s="5">
        <v>37</v>
      </c>
      <c r="K104" s="5">
        <v>2258</v>
      </c>
      <c r="L104" s="5">
        <v>2</v>
      </c>
      <c r="M104" s="5">
        <v>4</v>
      </c>
      <c r="N104" s="42">
        <v>0</v>
      </c>
      <c r="O104" s="5">
        <v>5</v>
      </c>
      <c r="P104" s="5">
        <v>624</v>
      </c>
      <c r="Q104" s="5" t="s">
        <v>25</v>
      </c>
      <c r="R104" s="5" t="s">
        <v>90</v>
      </c>
      <c r="S104" s="5" t="s">
        <v>150</v>
      </c>
      <c r="T104" s="43">
        <f t="shared" si="29"/>
        <v>45979</v>
      </c>
      <c r="U104" s="5" t="str" cm="1">
        <f t="array" ref="U104">IFERROR(MID(S104,MATCH(TRUE,ISNUMBER(1*MID(S104,ROW($1:$10),1)),0),COUNT(1*MID(S104,ROW($1:$10),1))),"غير محدد")</f>
        <v>6</v>
      </c>
      <c r="V104" s="32" t="s">
        <v>57</v>
      </c>
      <c r="W104" s="26">
        <f>'اسيوط الوادي'!$K100/'اسيوط الوادي'!$P100</f>
        <v>2.5844660194174756</v>
      </c>
      <c r="X104" s="22">
        <f t="shared" si="30"/>
        <v>0</v>
      </c>
      <c r="Y104" s="22">
        <f t="shared" si="31"/>
        <v>0.5</v>
      </c>
      <c r="Z104" s="26">
        <f t="shared" si="32"/>
        <v>0.13513513513513514</v>
      </c>
      <c r="AA104" s="22" t="str">
        <f t="shared" ca="1" si="33"/>
        <v xml:space="preserve">28   </v>
      </c>
      <c r="AB104" s="5"/>
      <c r="AC104" s="5"/>
    </row>
    <row r="105" spans="1:29" ht="25.15" customHeight="1" x14ac:dyDescent="0.2">
      <c r="A105" s="5" t="s">
        <v>74</v>
      </c>
      <c r="B105" s="5" t="s">
        <v>206</v>
      </c>
      <c r="C105" s="6">
        <v>500</v>
      </c>
      <c r="D105" s="40">
        <v>45795</v>
      </c>
      <c r="F105" s="5" t="str">
        <f t="shared" ca="1" si="28"/>
        <v xml:space="preserve">6  m 28  D </v>
      </c>
      <c r="G105" s="5">
        <v>14364</v>
      </c>
      <c r="H105" s="5">
        <v>66955</v>
      </c>
      <c r="I105" s="22">
        <f>الجدول3[[#This Row],[O2]]/الجدول3[[#This Row],[N2]]</f>
        <v>0.21453214845791949</v>
      </c>
      <c r="J105" s="5">
        <v>32</v>
      </c>
      <c r="K105" s="5">
        <v>1599</v>
      </c>
      <c r="L105" s="5">
        <v>1</v>
      </c>
      <c r="M105" s="5">
        <v>4</v>
      </c>
      <c r="N105" s="42">
        <v>0</v>
      </c>
      <c r="O105" s="5">
        <v>6</v>
      </c>
      <c r="P105" s="5">
        <v>639</v>
      </c>
      <c r="Q105" s="5" t="s">
        <v>11</v>
      </c>
      <c r="R105" s="5" t="s">
        <v>90</v>
      </c>
      <c r="S105" s="5" t="s">
        <v>150</v>
      </c>
      <c r="T105" s="43">
        <f t="shared" si="29"/>
        <v>45979</v>
      </c>
      <c r="U105" s="5" t="str" cm="1">
        <f t="array" ref="U105">IFERROR(MID(S105,MATCH(TRUE,ISNUMBER(1*MID(S105,ROW($1:$10),1)),0),COUNT(1*MID(S105,ROW($1:$10),1))),"غير محدد")</f>
        <v>6</v>
      </c>
      <c r="V105" s="32" t="s">
        <v>57</v>
      </c>
      <c r="W105" s="26">
        <f>'اسيوط الوادي'!$K104/'اسيوط الوادي'!$P104</f>
        <v>3.6185897435897436</v>
      </c>
      <c r="X105" s="22">
        <f t="shared" si="30"/>
        <v>0</v>
      </c>
      <c r="Y105" s="22">
        <f t="shared" si="31"/>
        <v>0.25</v>
      </c>
      <c r="Z105" s="26">
        <f t="shared" si="32"/>
        <v>0.1875</v>
      </c>
      <c r="AA105" s="22" t="str">
        <f t="shared" ca="1" si="33"/>
        <v xml:space="preserve">28   </v>
      </c>
      <c r="AB105" s="5"/>
      <c r="AC105" s="5"/>
    </row>
    <row r="106" spans="1:29" ht="25.15" customHeight="1" x14ac:dyDescent="0.2">
      <c r="A106" s="5" t="s">
        <v>74</v>
      </c>
      <c r="B106" s="5" t="s">
        <v>129</v>
      </c>
      <c r="C106" s="6">
        <v>500</v>
      </c>
      <c r="D106" s="40">
        <v>45056</v>
      </c>
      <c r="F106" s="5" t="str">
        <f t="shared" ca="1" si="28"/>
        <v xml:space="preserve">7  m 6  D </v>
      </c>
      <c r="G106" s="5">
        <v>3172</v>
      </c>
      <c r="H106" s="5">
        <v>83469</v>
      </c>
      <c r="I106" s="22">
        <f>الجدول3[[#This Row],[O2]]/الجدول3[[#This Row],[N2]]</f>
        <v>3.8002132528244019E-2</v>
      </c>
      <c r="J106" s="5">
        <v>33</v>
      </c>
      <c r="K106" s="5">
        <v>997</v>
      </c>
      <c r="L106" s="5">
        <v>2</v>
      </c>
      <c r="M106" s="5">
        <v>3</v>
      </c>
      <c r="N106" s="42">
        <v>0</v>
      </c>
      <c r="O106" s="5">
        <v>1</v>
      </c>
      <c r="P106" s="5">
        <v>921</v>
      </c>
      <c r="Q106" s="5" t="s">
        <v>13</v>
      </c>
      <c r="R106" s="5">
        <v>2</v>
      </c>
      <c r="S106" s="5" t="s">
        <v>12</v>
      </c>
      <c r="T106" s="43" t="str">
        <f t="shared" si="29"/>
        <v>غير محدد</v>
      </c>
      <c r="U106" s="5" t="str" cm="1">
        <f t="array" ref="U106">IFERROR(MID(S106,MATCH(TRUE,ISNUMBER(1*MID(S106,ROW($1:$10),1)),0),COUNT(1*MID(S106,ROW($1:$10),1))),"غير محدد")</f>
        <v>غير محدد</v>
      </c>
      <c r="V106" s="32" t="s">
        <v>93</v>
      </c>
      <c r="W106" s="26">
        <f>'اسيوط الوادي'!$K100/'اسيوط الوادي'!$P100</f>
        <v>2.5844660194174756</v>
      </c>
      <c r="X106" s="22">
        <f t="shared" si="30"/>
        <v>0</v>
      </c>
      <c r="Y106" s="22">
        <f t="shared" si="31"/>
        <v>0.66666666666666663</v>
      </c>
      <c r="Z106" s="26">
        <f t="shared" si="32"/>
        <v>3.0303030303030304E-2</v>
      </c>
      <c r="AA106" s="22" t="str">
        <f t="shared" ca="1" si="33"/>
        <v xml:space="preserve">0 </v>
      </c>
      <c r="AB106" s="5"/>
      <c r="AC106" s="5"/>
    </row>
    <row r="107" spans="1:29" ht="25.15" customHeight="1" x14ac:dyDescent="0.2">
      <c r="A107" s="5" t="s">
        <v>74</v>
      </c>
      <c r="B107" s="5" t="s">
        <v>129</v>
      </c>
      <c r="C107" s="6">
        <v>500</v>
      </c>
      <c r="D107" s="40">
        <v>45176</v>
      </c>
      <c r="F107" s="5" t="str">
        <f t="shared" ca="1" si="28"/>
        <v xml:space="preserve">3  m 9  D </v>
      </c>
      <c r="G107" s="5">
        <v>9846</v>
      </c>
      <c r="H107" s="5">
        <v>85873</v>
      </c>
      <c r="I107" s="22">
        <f>الجدول3[[#This Row],[O2]]/الجدول3[[#This Row],[N2]]</f>
        <v>0.11465769217332572</v>
      </c>
      <c r="J107" s="5">
        <v>36</v>
      </c>
      <c r="K107" s="5">
        <v>2574</v>
      </c>
      <c r="L107" s="5">
        <v>1</v>
      </c>
      <c r="M107" s="5">
        <v>2</v>
      </c>
      <c r="N107" s="42">
        <v>0</v>
      </c>
      <c r="O107" s="5">
        <v>1</v>
      </c>
      <c r="P107" s="5">
        <v>1077</v>
      </c>
      <c r="Q107" s="5" t="s">
        <v>13</v>
      </c>
      <c r="R107" s="5" t="s">
        <v>90</v>
      </c>
      <c r="S107" s="5" t="s">
        <v>99</v>
      </c>
      <c r="T107" s="43" t="str">
        <f t="shared" si="29"/>
        <v>غير محدد</v>
      </c>
      <c r="U107" s="5" t="str" cm="1">
        <f t="array" ref="U107">IFERROR(MID(S107,MATCH(TRUE,ISNUMBER(1*MID(S107,ROW($1:$10),1)),0),COUNT(1*MID(S107,ROW($1:$10),1))),"غير محدد")</f>
        <v>غير محدد</v>
      </c>
      <c r="V107" s="32" t="s">
        <v>93</v>
      </c>
      <c r="W107" s="26">
        <f>'اسيوط الوادي'!$K101/'اسيوط الوادي'!$P101</f>
        <v>2.8777381558838511</v>
      </c>
      <c r="X107" s="22">
        <f t="shared" si="30"/>
        <v>0</v>
      </c>
      <c r="Y107" s="22">
        <f t="shared" si="31"/>
        <v>0.5</v>
      </c>
      <c r="Z107" s="26">
        <f t="shared" si="32"/>
        <v>2.7777777777777776E-2</v>
      </c>
      <c r="AA107" s="22" t="str">
        <f t="shared" ca="1" si="33"/>
        <v xml:space="preserve">0 </v>
      </c>
      <c r="AB107" s="5"/>
      <c r="AC107" s="5"/>
    </row>
    <row r="108" spans="1:29" ht="25.15" customHeight="1" x14ac:dyDescent="0.2">
      <c r="A108" s="5" t="s">
        <v>74</v>
      </c>
      <c r="B108" s="5" t="s">
        <v>129</v>
      </c>
      <c r="C108" s="6">
        <v>500</v>
      </c>
      <c r="D108" s="40">
        <v>45271</v>
      </c>
      <c r="F108" s="5" t="str">
        <f t="shared" ca="1" si="28"/>
        <v xml:space="preserve">0  m 5  D </v>
      </c>
      <c r="G108" s="5">
        <v>13454</v>
      </c>
      <c r="H108" s="5">
        <v>84595</v>
      </c>
      <c r="I108" s="22">
        <f>الجدول3[[#This Row],[O2]]/الجدول3[[#This Row],[N2]]</f>
        <v>0.15904013239553166</v>
      </c>
      <c r="J108" s="5">
        <v>25</v>
      </c>
      <c r="K108" s="5">
        <v>3247</v>
      </c>
      <c r="L108" s="5">
        <v>1</v>
      </c>
      <c r="M108" s="5">
        <v>5</v>
      </c>
      <c r="N108" s="42">
        <v>0</v>
      </c>
      <c r="O108" s="5">
        <v>1</v>
      </c>
      <c r="P108" s="5">
        <v>1574</v>
      </c>
      <c r="Q108" s="5" t="s">
        <v>13</v>
      </c>
      <c r="R108" s="5" t="s">
        <v>90</v>
      </c>
      <c r="S108" s="5" t="s">
        <v>99</v>
      </c>
      <c r="T108" s="43" t="str">
        <f t="shared" si="29"/>
        <v>غير محدد</v>
      </c>
      <c r="U108" s="5" t="str" cm="1">
        <f t="array" ref="U108">IFERROR(MID(S108,MATCH(TRUE,ISNUMBER(1*MID(S108,ROW($1:$10),1)),0),COUNT(1*MID(S108,ROW($1:$10),1))),"غير محدد")</f>
        <v>غير محدد</v>
      </c>
      <c r="V108" s="32" t="s">
        <v>93</v>
      </c>
      <c r="W108" s="26">
        <f>'اسيوط الوادي'!$K102/'اسيوط الوادي'!$P102</f>
        <v>3.3737373737373737</v>
      </c>
      <c r="X108" s="22">
        <f t="shared" si="30"/>
        <v>0</v>
      </c>
      <c r="Y108" s="22">
        <f t="shared" si="31"/>
        <v>0.2</v>
      </c>
      <c r="Z108" s="26">
        <f t="shared" si="32"/>
        <v>0.04</v>
      </c>
      <c r="AA108" s="22" t="str">
        <f t="shared" ca="1" si="33"/>
        <v xml:space="preserve">0 </v>
      </c>
      <c r="AB108" s="5"/>
      <c r="AC108" s="5"/>
    </row>
    <row r="109" spans="1:29" ht="25.15" customHeight="1" x14ac:dyDescent="0.2">
      <c r="A109" s="5" t="s">
        <v>74</v>
      </c>
      <c r="B109" s="5" t="s">
        <v>129</v>
      </c>
      <c r="C109" s="6">
        <v>500</v>
      </c>
      <c r="D109" s="40">
        <v>45271</v>
      </c>
      <c r="F109" s="5" t="str">
        <f t="shared" ca="1" si="28"/>
        <v xml:space="preserve">0  m 5  D </v>
      </c>
      <c r="G109" s="5">
        <v>13454</v>
      </c>
      <c r="H109" s="5">
        <v>84595</v>
      </c>
      <c r="I109" s="22">
        <f>الجدول3[[#This Row],[O2]]/الجدول3[[#This Row],[N2]]</f>
        <v>0.15904013239553166</v>
      </c>
      <c r="J109" s="5">
        <v>25</v>
      </c>
      <c r="K109" s="5">
        <v>3347</v>
      </c>
      <c r="L109" s="5">
        <v>1</v>
      </c>
      <c r="M109" s="5">
        <v>5</v>
      </c>
      <c r="N109" s="42">
        <v>0</v>
      </c>
      <c r="O109" s="5">
        <v>1</v>
      </c>
      <c r="P109" s="5">
        <v>1574</v>
      </c>
      <c r="Q109" s="5" t="s">
        <v>13</v>
      </c>
      <c r="R109" s="5" t="s">
        <v>90</v>
      </c>
      <c r="S109" s="5" t="s">
        <v>99</v>
      </c>
      <c r="T109" s="43" t="str">
        <f t="shared" si="29"/>
        <v>غير محدد</v>
      </c>
      <c r="U109" s="5" t="str" cm="1">
        <f t="array" ref="U109">IFERROR(MID(S109,MATCH(TRUE,ISNUMBER(1*MID(S109,ROW($1:$10),1)),0),COUNT(1*MID(S109,ROW($1:$10),1))),"غير محدد")</f>
        <v>غير محدد</v>
      </c>
      <c r="V109" s="32" t="s">
        <v>57</v>
      </c>
      <c r="W109" s="26">
        <f>'اسيوط الوادي'!$K103/'اسيوط الوادي'!$P103</f>
        <v>3.3057216054654144</v>
      </c>
      <c r="X109" s="22">
        <f t="shared" si="30"/>
        <v>0</v>
      </c>
      <c r="Y109" s="22">
        <f t="shared" si="31"/>
        <v>0.2</v>
      </c>
      <c r="Z109" s="26">
        <f t="shared" si="32"/>
        <v>0.04</v>
      </c>
      <c r="AA109" s="22" t="str">
        <f t="shared" ca="1" si="33"/>
        <v xml:space="preserve">0 </v>
      </c>
      <c r="AB109" s="5"/>
      <c r="AC109" s="5"/>
    </row>
    <row r="110" spans="1:29" ht="25.15" customHeight="1" x14ac:dyDescent="0.2">
      <c r="A110" s="5" t="s">
        <v>74</v>
      </c>
      <c r="B110" s="5" t="s">
        <v>76</v>
      </c>
      <c r="C110" s="6" t="s">
        <v>16</v>
      </c>
      <c r="D110" s="40">
        <v>45056</v>
      </c>
      <c r="F110" s="5" t="str">
        <f t="shared" ca="1" si="28"/>
        <v xml:space="preserve">7  m 6  D </v>
      </c>
      <c r="G110" s="5">
        <v>9664</v>
      </c>
      <c r="H110" s="5">
        <v>89753</v>
      </c>
      <c r="I110" s="22">
        <f>الجدول3[[#This Row],[O2]]/الجدول3[[#This Row],[N2]]</f>
        <v>0.10767328111595155</v>
      </c>
      <c r="J110" s="5">
        <v>38</v>
      </c>
      <c r="K110" s="5">
        <v>2504</v>
      </c>
      <c r="L110" s="5">
        <v>2</v>
      </c>
      <c r="M110" s="5">
        <v>3</v>
      </c>
      <c r="N110" s="42">
        <v>0</v>
      </c>
      <c r="O110" s="5">
        <v>8</v>
      </c>
      <c r="P110" s="5">
        <v>987</v>
      </c>
      <c r="Q110" s="5" t="s">
        <v>11</v>
      </c>
      <c r="R110" s="5">
        <v>2</v>
      </c>
      <c r="S110" s="5" t="s">
        <v>12</v>
      </c>
      <c r="T110" s="43" t="str">
        <f t="shared" si="29"/>
        <v>غير محدد</v>
      </c>
      <c r="U110" s="5" t="str" cm="1">
        <f t="array" ref="U110">IFERROR(MID(S110,MATCH(TRUE,ISNUMBER(1*MID(S110,ROW($1:$10),1)),0),COUNT(1*MID(S110,ROW($1:$10),1))),"غير محدد")</f>
        <v>غير محدد</v>
      </c>
      <c r="V110" s="32" t="s">
        <v>93</v>
      </c>
      <c r="W110" s="26">
        <f>'اسيوط الوادي'!$K105/'اسيوط الوادي'!$P105</f>
        <v>2.5023474178403755</v>
      </c>
      <c r="X110" s="22">
        <f t="shared" si="30"/>
        <v>0</v>
      </c>
      <c r="Y110" s="22">
        <f t="shared" si="31"/>
        <v>0.66666666666666663</v>
      </c>
      <c r="Z110" s="26">
        <f t="shared" si="32"/>
        <v>0.21052631578947367</v>
      </c>
      <c r="AA110" s="22" t="str">
        <f t="shared" ca="1" si="33"/>
        <v xml:space="preserve">0 </v>
      </c>
      <c r="AB110" s="5"/>
      <c r="AC110" s="5"/>
    </row>
    <row r="111" spans="1:29" ht="25.15" customHeight="1" x14ac:dyDescent="0.2">
      <c r="A111" s="5" t="s">
        <v>74</v>
      </c>
      <c r="B111" s="5" t="s">
        <v>76</v>
      </c>
      <c r="C111" s="6" t="s">
        <v>16</v>
      </c>
      <c r="D111" s="40">
        <v>45176</v>
      </c>
      <c r="F111" s="5" t="str">
        <f t="shared" ca="1" si="28"/>
        <v xml:space="preserve">3  m 9  D </v>
      </c>
      <c r="G111" s="5">
        <v>5956</v>
      </c>
      <c r="H111" s="5">
        <v>74725</v>
      </c>
      <c r="I111" s="22">
        <f>الجدول3[[#This Row],[O2]]/الجدول3[[#This Row],[N2]]</f>
        <v>7.9705587152893942E-2</v>
      </c>
      <c r="J111" s="5">
        <v>20</v>
      </c>
      <c r="K111" s="5">
        <v>3871</v>
      </c>
      <c r="L111" s="5">
        <v>7</v>
      </c>
      <c r="M111" s="5">
        <v>33</v>
      </c>
      <c r="N111" s="42">
        <v>0</v>
      </c>
      <c r="O111" s="5">
        <v>7</v>
      </c>
      <c r="P111" s="5">
        <v>836</v>
      </c>
      <c r="Q111" s="5" t="s">
        <v>13</v>
      </c>
      <c r="R111" s="5" t="s">
        <v>90</v>
      </c>
      <c r="S111" s="5" t="s">
        <v>99</v>
      </c>
      <c r="T111" s="43" t="str">
        <f t="shared" si="29"/>
        <v>غير محدد</v>
      </c>
      <c r="U111" s="5" t="str" cm="1">
        <f t="array" ref="U111">IFERROR(MID(S111,MATCH(TRUE,ISNUMBER(1*MID(S111,ROW($1:$10),1)),0),COUNT(1*MID(S111,ROW($1:$10),1))),"غير محدد")</f>
        <v>غير محدد</v>
      </c>
      <c r="V111" s="32" t="s">
        <v>93</v>
      </c>
      <c r="W111" s="26">
        <f>'اسيوط الوادي'!$K106/'اسيوط الوادي'!$P106</f>
        <v>1.0825190010857764</v>
      </c>
      <c r="X111" s="22">
        <f t="shared" si="30"/>
        <v>0</v>
      </c>
      <c r="Y111" s="22">
        <f t="shared" si="31"/>
        <v>0.21212121212121213</v>
      </c>
      <c r="Z111" s="26">
        <f t="shared" si="32"/>
        <v>0.35</v>
      </c>
      <c r="AA111" s="22" t="str">
        <f t="shared" ca="1" si="33"/>
        <v xml:space="preserve">0 </v>
      </c>
      <c r="AB111" s="5"/>
      <c r="AC111" s="5"/>
    </row>
    <row r="112" spans="1:29" ht="25.15" customHeight="1" x14ac:dyDescent="0.2">
      <c r="A112" s="5" t="s">
        <v>74</v>
      </c>
      <c r="B112" s="5" t="s">
        <v>76</v>
      </c>
      <c r="C112" s="6" t="s">
        <v>16</v>
      </c>
      <c r="D112" s="40">
        <v>45271</v>
      </c>
      <c r="F112" s="5" t="str">
        <f t="shared" ca="1" si="28"/>
        <v xml:space="preserve">0  m 5  D </v>
      </c>
      <c r="G112" s="5">
        <v>11958</v>
      </c>
      <c r="H112" s="5">
        <v>92267</v>
      </c>
      <c r="I112" s="22">
        <f>الجدول3[[#This Row],[O2]]/الجدول3[[#This Row],[N2]]</f>
        <v>0.12960213294027118</v>
      </c>
      <c r="J112" s="5">
        <v>21</v>
      </c>
      <c r="K112" s="5">
        <v>6222</v>
      </c>
      <c r="L112" s="5">
        <v>3</v>
      </c>
      <c r="M112" s="5">
        <v>5</v>
      </c>
      <c r="N112" s="42">
        <v>0</v>
      </c>
      <c r="O112" s="5">
        <v>3</v>
      </c>
      <c r="P112" s="5">
        <v>1732</v>
      </c>
      <c r="Q112" s="5" t="s">
        <v>13</v>
      </c>
      <c r="R112" s="5" t="s">
        <v>90</v>
      </c>
      <c r="S112" s="5" t="s">
        <v>99</v>
      </c>
      <c r="T112" s="43" t="str">
        <f t="shared" si="29"/>
        <v>غير محدد</v>
      </c>
      <c r="U112" s="5" t="str" cm="1">
        <f t="array" ref="U112">IFERROR(MID(S112,MATCH(TRUE,ISNUMBER(1*MID(S112,ROW($1:$10),1)),0),COUNT(1*MID(S112,ROW($1:$10),1))),"غير محدد")</f>
        <v>غير محدد</v>
      </c>
      <c r="V112" s="32" t="s">
        <v>93</v>
      </c>
      <c r="W112" s="26">
        <f>'اسيوط الوادي'!$K107/'اسيوط الوادي'!$P107</f>
        <v>2.3899721448467965</v>
      </c>
      <c r="X112" s="22">
        <f t="shared" si="30"/>
        <v>0</v>
      </c>
      <c r="Y112" s="22">
        <f t="shared" si="31"/>
        <v>0.6</v>
      </c>
      <c r="Z112" s="26">
        <f t="shared" si="32"/>
        <v>0.14285714285714285</v>
      </c>
      <c r="AA112" s="22" t="str">
        <f t="shared" ca="1" si="33"/>
        <v xml:space="preserve">0 </v>
      </c>
      <c r="AB112" s="5"/>
      <c r="AC112" s="5"/>
    </row>
    <row r="113" spans="1:29" ht="25.15" customHeight="1" x14ac:dyDescent="0.2">
      <c r="A113" s="5" t="s">
        <v>74</v>
      </c>
      <c r="B113" s="5" t="s">
        <v>76</v>
      </c>
      <c r="C113" s="6" t="s">
        <v>16</v>
      </c>
      <c r="D113" s="40">
        <v>45271</v>
      </c>
      <c r="F113" s="5" t="str">
        <f t="shared" ca="1" si="28"/>
        <v xml:space="preserve">0  m 5  D </v>
      </c>
      <c r="G113" s="5">
        <v>11958</v>
      </c>
      <c r="H113" s="5">
        <v>92267</v>
      </c>
      <c r="I113" s="22">
        <f>الجدول3[[#This Row],[O2]]/الجدول3[[#This Row],[N2]]</f>
        <v>0.12960213294027118</v>
      </c>
      <c r="J113" s="5">
        <v>21</v>
      </c>
      <c r="K113" s="5">
        <v>6222</v>
      </c>
      <c r="L113" s="5">
        <v>3</v>
      </c>
      <c r="M113" s="5">
        <v>5</v>
      </c>
      <c r="N113" s="42">
        <v>0</v>
      </c>
      <c r="O113" s="5">
        <v>1</v>
      </c>
      <c r="P113" s="5">
        <v>1732</v>
      </c>
      <c r="Q113" s="5" t="s">
        <v>13</v>
      </c>
      <c r="R113" s="5" t="s">
        <v>90</v>
      </c>
      <c r="S113" s="5" t="s">
        <v>99</v>
      </c>
      <c r="T113" s="43" t="str">
        <f t="shared" si="29"/>
        <v>غير محدد</v>
      </c>
      <c r="U113" s="5" t="str" cm="1">
        <f t="array" ref="U113">IFERROR(MID(S113,MATCH(TRUE,ISNUMBER(1*MID(S113,ROW($1:$10),1)),0),COUNT(1*MID(S113,ROW($1:$10),1))),"غير محدد")</f>
        <v>غير محدد</v>
      </c>
      <c r="V113" s="32" t="s">
        <v>57</v>
      </c>
      <c r="W113" s="26">
        <f>'اسيوط الوادي'!$K108/'اسيوط الوادي'!$P108</f>
        <v>2.0628970775095299</v>
      </c>
      <c r="X113" s="22">
        <f t="shared" si="30"/>
        <v>0</v>
      </c>
      <c r="Y113" s="22">
        <f t="shared" si="31"/>
        <v>0.6</v>
      </c>
      <c r="Z113" s="26">
        <f t="shared" si="32"/>
        <v>4.7619047619047616E-2</v>
      </c>
      <c r="AA113" s="22" t="str">
        <f t="shared" ca="1" si="33"/>
        <v xml:space="preserve">0 </v>
      </c>
      <c r="AB113" s="5"/>
      <c r="AC113" s="5"/>
    </row>
    <row r="114" spans="1:29" ht="25.15" customHeight="1" x14ac:dyDescent="0.2">
      <c r="A114" s="5" t="s">
        <v>74</v>
      </c>
      <c r="B114" s="5" t="s">
        <v>75</v>
      </c>
      <c r="C114" s="6" t="s">
        <v>16</v>
      </c>
      <c r="D114" s="40">
        <v>45056</v>
      </c>
      <c r="F114" s="5" t="str">
        <f t="shared" ca="1" si="28"/>
        <v xml:space="preserve">7  m 6  D </v>
      </c>
      <c r="G114" s="5">
        <v>11873</v>
      </c>
      <c r="H114" s="5">
        <v>84381</v>
      </c>
      <c r="I114" s="22">
        <f>الجدول3[[#This Row],[O2]]/الجدول3[[#This Row],[N2]]</f>
        <v>0.14070703120370701</v>
      </c>
      <c r="J114" s="5">
        <v>36</v>
      </c>
      <c r="K114" s="5">
        <v>2705</v>
      </c>
      <c r="L114" s="5">
        <v>2</v>
      </c>
      <c r="M114" s="5">
        <v>3</v>
      </c>
      <c r="N114" s="42">
        <v>0</v>
      </c>
      <c r="O114" s="5">
        <v>10</v>
      </c>
      <c r="P114" s="5">
        <v>1073</v>
      </c>
      <c r="Q114" s="5" t="s">
        <v>11</v>
      </c>
      <c r="R114" s="5">
        <v>2</v>
      </c>
      <c r="S114" s="5" t="s">
        <v>12</v>
      </c>
      <c r="T114" s="43" t="str">
        <f t="shared" si="29"/>
        <v>غير محدد</v>
      </c>
      <c r="U114" s="5" t="str" cm="1">
        <f t="array" ref="U114">IFERROR(MID(S114,MATCH(TRUE,ISNUMBER(1*MID(S114,ROW($1:$10),1)),0),COUNT(1*MID(S114,ROW($1:$10),1))),"غير محدد")</f>
        <v>غير محدد</v>
      </c>
      <c r="V114" s="32" t="s">
        <v>93</v>
      </c>
      <c r="W114" s="26">
        <f>'اسيوط الوادي'!$K110/'اسيوط الوادي'!$P110</f>
        <v>2.5369807497467072</v>
      </c>
      <c r="X114" s="22">
        <f t="shared" si="30"/>
        <v>0</v>
      </c>
      <c r="Y114" s="22">
        <f t="shared" si="31"/>
        <v>0.66666666666666663</v>
      </c>
      <c r="Z114" s="26">
        <f t="shared" si="32"/>
        <v>0.27777777777777779</v>
      </c>
      <c r="AA114" s="22" t="str">
        <f t="shared" ca="1" si="33"/>
        <v xml:space="preserve">0 </v>
      </c>
      <c r="AB114" s="5"/>
      <c r="AC114" s="5"/>
    </row>
    <row r="115" spans="1:29" ht="25.15" customHeight="1" x14ac:dyDescent="0.2">
      <c r="A115" s="5" t="s">
        <v>74</v>
      </c>
      <c r="B115" s="5" t="s">
        <v>75</v>
      </c>
      <c r="C115" s="6" t="s">
        <v>16</v>
      </c>
      <c r="D115" s="40">
        <v>45176</v>
      </c>
      <c r="F115" s="5" t="str">
        <f t="shared" ca="1" si="28"/>
        <v xml:space="preserve">3  m 9  D </v>
      </c>
      <c r="G115" s="5">
        <v>21900</v>
      </c>
      <c r="H115" s="5">
        <v>233741</v>
      </c>
      <c r="I115" s="22">
        <f>الجدول3[[#This Row],[O2]]/الجدول3[[#This Row],[N2]]</f>
        <v>9.369344702042004E-2</v>
      </c>
      <c r="J115" s="5">
        <v>20</v>
      </c>
      <c r="K115" s="5">
        <v>5996</v>
      </c>
      <c r="L115" s="5">
        <v>7</v>
      </c>
      <c r="M115" s="5">
        <v>7</v>
      </c>
      <c r="N115" s="42">
        <v>0</v>
      </c>
      <c r="O115" s="5">
        <v>7</v>
      </c>
      <c r="P115" s="5">
        <v>2052</v>
      </c>
      <c r="Q115" s="5" t="s">
        <v>13</v>
      </c>
      <c r="R115" s="5" t="s">
        <v>90</v>
      </c>
      <c r="S115" s="5" t="s">
        <v>99</v>
      </c>
      <c r="T115" s="43" t="str">
        <f t="shared" si="29"/>
        <v>غير محدد</v>
      </c>
      <c r="U115" s="5" t="str" cm="1">
        <f t="array" ref="U115">IFERROR(MID(S115,MATCH(TRUE,ISNUMBER(1*MID(S115,ROW($1:$10),1)),0),COUNT(1*MID(S115,ROW($1:$10),1))),"غير محدد")</f>
        <v>غير محدد</v>
      </c>
      <c r="V115" s="32" t="s">
        <v>93</v>
      </c>
      <c r="W115" s="26">
        <f>'اسيوط الوادي'!$K111/'اسيوط الوادي'!$P111</f>
        <v>4.6303827751196174</v>
      </c>
      <c r="X115" s="22">
        <f t="shared" si="30"/>
        <v>0</v>
      </c>
      <c r="Y115" s="22">
        <f t="shared" si="31"/>
        <v>1</v>
      </c>
      <c r="Z115" s="26">
        <f t="shared" si="32"/>
        <v>0.35</v>
      </c>
      <c r="AA115" s="22" t="str">
        <f t="shared" ca="1" si="33"/>
        <v xml:space="preserve">0 </v>
      </c>
      <c r="AB115" s="5"/>
      <c r="AC115" s="5"/>
    </row>
    <row r="116" spans="1:29" ht="25.15" customHeight="1" x14ac:dyDescent="0.2">
      <c r="A116" s="5" t="s">
        <v>74</v>
      </c>
      <c r="B116" s="5" t="s">
        <v>75</v>
      </c>
      <c r="C116" s="6" t="s">
        <v>16</v>
      </c>
      <c r="D116" s="40">
        <v>45271</v>
      </c>
      <c r="F116" s="5" t="str">
        <f t="shared" ca="1" si="28"/>
        <v xml:space="preserve">0  m 5  D </v>
      </c>
      <c r="G116" s="5">
        <v>10389</v>
      </c>
      <c r="H116" s="5">
        <v>71148</v>
      </c>
      <c r="I116" s="22">
        <f>الجدول3[[#This Row],[O2]]/الجدول3[[#This Row],[N2]]</f>
        <v>0.14601956485073367</v>
      </c>
      <c r="J116" s="5">
        <v>15</v>
      </c>
      <c r="K116" s="5">
        <v>5477</v>
      </c>
      <c r="L116" s="5">
        <v>3</v>
      </c>
      <c r="M116" s="5">
        <v>3</v>
      </c>
      <c r="N116" s="42">
        <v>0</v>
      </c>
      <c r="O116" s="5">
        <v>1</v>
      </c>
      <c r="P116" s="5">
        <v>1761</v>
      </c>
      <c r="Q116" s="5" t="s">
        <v>13</v>
      </c>
      <c r="R116" s="5" t="s">
        <v>90</v>
      </c>
      <c r="S116" s="5" t="s">
        <v>99</v>
      </c>
      <c r="T116" s="43" t="str">
        <f t="shared" si="29"/>
        <v>غير محدد</v>
      </c>
      <c r="U116" s="5" t="str" cm="1">
        <f t="array" ref="U116">IFERROR(MID(S116,MATCH(TRUE,ISNUMBER(1*MID(S116,ROW($1:$10),1)),0),COUNT(1*MID(S116,ROW($1:$10),1))),"غير محدد")</f>
        <v>غير محدد</v>
      </c>
      <c r="V116" s="32" t="s">
        <v>57</v>
      </c>
      <c r="W116" s="26">
        <f>'اسيوط الوادي'!$K112/'اسيوط الوادي'!$P112</f>
        <v>3.5923787528868361</v>
      </c>
      <c r="X116" s="22">
        <f t="shared" si="30"/>
        <v>0</v>
      </c>
      <c r="Y116" s="22">
        <f t="shared" si="31"/>
        <v>1</v>
      </c>
      <c r="Z116" s="26">
        <f t="shared" si="32"/>
        <v>6.6666666666666666E-2</v>
      </c>
      <c r="AA116" s="22" t="str">
        <f t="shared" ca="1" si="33"/>
        <v xml:space="preserve">0 </v>
      </c>
      <c r="AB116" s="5"/>
      <c r="AC116" s="5"/>
    </row>
    <row r="117" spans="1:29" ht="25.15" customHeight="1" x14ac:dyDescent="0.2">
      <c r="A117" s="5" t="s">
        <v>74</v>
      </c>
      <c r="B117" s="5" t="s">
        <v>200</v>
      </c>
      <c r="C117" s="6" t="s">
        <v>28</v>
      </c>
      <c r="D117" s="40">
        <v>45420</v>
      </c>
      <c r="F117" s="5" t="str">
        <f t="shared" ca="1" si="28"/>
        <v xml:space="preserve">7  m 8  D </v>
      </c>
      <c r="G117" s="5">
        <v>13510</v>
      </c>
      <c r="H117" s="5">
        <v>51458</v>
      </c>
      <c r="I117" s="22">
        <f>الجدول3[[#This Row],[O2]]/الجدول3[[#This Row],[N2]]</f>
        <v>0.26254421081270163</v>
      </c>
      <c r="J117" s="5">
        <v>18</v>
      </c>
      <c r="K117" s="5">
        <v>1395</v>
      </c>
      <c r="L117" s="5">
        <v>1</v>
      </c>
      <c r="M117" s="5">
        <v>3</v>
      </c>
      <c r="N117" s="42">
        <v>0</v>
      </c>
      <c r="O117" s="5">
        <v>2</v>
      </c>
      <c r="P117" s="5">
        <v>508</v>
      </c>
      <c r="Q117" s="5" t="s">
        <v>10</v>
      </c>
      <c r="R117" s="5" t="s">
        <v>96</v>
      </c>
      <c r="S117" s="5" t="s">
        <v>150</v>
      </c>
      <c r="T117" s="43">
        <f t="shared" si="29"/>
        <v>45604</v>
      </c>
      <c r="U117" s="5" t="str" cm="1">
        <f t="array" ref="U117">IFERROR(MID(S117,MATCH(TRUE,ISNUMBER(1*MID(S117,ROW($1:$10),1)),0),COUNT(1*MID(S117,ROW($1:$10),1))),"غير محدد")</f>
        <v>6</v>
      </c>
      <c r="V117" s="32" t="s">
        <v>93</v>
      </c>
      <c r="W117" s="26">
        <f>'اسيوط الوادي'!$K112/'اسيوط الوادي'!$P112</f>
        <v>3.5923787528868361</v>
      </c>
      <c r="X117" s="22">
        <f t="shared" si="30"/>
        <v>0</v>
      </c>
      <c r="Y117" s="22">
        <f t="shared" si="31"/>
        <v>0.33333333333333331</v>
      </c>
      <c r="Z117" s="26">
        <f t="shared" si="32"/>
        <v>0.1111111111111111</v>
      </c>
      <c r="AA117" s="22" t="str">
        <f t="shared" ca="1" si="33"/>
        <v xml:space="preserve">8   </v>
      </c>
      <c r="AB117" s="5"/>
      <c r="AC117" s="5"/>
    </row>
    <row r="118" spans="1:29" ht="25.15" customHeight="1" x14ac:dyDescent="0.2">
      <c r="A118" s="5" t="s">
        <v>74</v>
      </c>
      <c r="B118" s="5" t="s">
        <v>200</v>
      </c>
      <c r="C118" s="6" t="s">
        <v>28</v>
      </c>
      <c r="D118" s="40">
        <v>45763</v>
      </c>
      <c r="F118" s="5" t="str">
        <f t="shared" ca="1" si="28"/>
        <v xml:space="preserve">8  m 0  D </v>
      </c>
      <c r="G118" s="5">
        <v>14823</v>
      </c>
      <c r="H118" s="5">
        <v>52839</v>
      </c>
      <c r="I118" s="22">
        <f>الجدول3[[#This Row],[O2]]/الجدول3[[#This Row],[N2]]</f>
        <v>0.2805314256515074</v>
      </c>
      <c r="J118" s="5">
        <v>18</v>
      </c>
      <c r="K118" s="5">
        <v>1695</v>
      </c>
      <c r="L118" s="5">
        <v>1</v>
      </c>
      <c r="M118" s="5">
        <v>5</v>
      </c>
      <c r="N118" s="42">
        <v>0</v>
      </c>
      <c r="O118" s="5">
        <v>2</v>
      </c>
      <c r="P118" s="5">
        <v>689</v>
      </c>
      <c r="Q118" s="5" t="s">
        <v>25</v>
      </c>
      <c r="R118" s="5" t="s">
        <v>90</v>
      </c>
      <c r="S118" s="5" t="s">
        <v>150</v>
      </c>
      <c r="T118" s="43">
        <f t="shared" si="29"/>
        <v>45946</v>
      </c>
      <c r="U118" s="5" t="str" cm="1">
        <f t="array" ref="U118">IFERROR(MID(S118,MATCH(TRUE,ISNUMBER(1*MID(S118,ROW($1:$10),1)),0),COUNT(1*MID(S118,ROW($1:$10),1))),"غير محدد")</f>
        <v>6</v>
      </c>
      <c r="V118" s="32" t="s">
        <v>57</v>
      </c>
      <c r="W118" s="26">
        <f>'اسيوط الوادي'!$K113/'اسيوط الوادي'!$P113</f>
        <v>3.5923787528868361</v>
      </c>
      <c r="X118" s="22">
        <f t="shared" si="30"/>
        <v>0</v>
      </c>
      <c r="Y118" s="22">
        <f t="shared" si="31"/>
        <v>0.2</v>
      </c>
      <c r="Z118" s="26">
        <f t="shared" si="32"/>
        <v>0.1111111111111111</v>
      </c>
      <c r="AA118" s="22" t="str">
        <f t="shared" ca="1" si="33"/>
        <v xml:space="preserve">0   </v>
      </c>
      <c r="AB118" s="5"/>
      <c r="AC118" s="5"/>
    </row>
    <row r="119" spans="1:29" ht="25.15" customHeight="1" x14ac:dyDescent="0.2">
      <c r="A119" s="5" t="s">
        <v>74</v>
      </c>
      <c r="B119" s="5" t="s">
        <v>199</v>
      </c>
      <c r="C119" s="6" t="s">
        <v>28</v>
      </c>
      <c r="D119" s="40">
        <v>45763</v>
      </c>
      <c r="F119" s="5" t="str">
        <f t="shared" ca="1" si="28"/>
        <v xml:space="preserve">8  m 0  D </v>
      </c>
      <c r="G119" s="5">
        <v>6656</v>
      </c>
      <c r="H119" s="5">
        <v>23840</v>
      </c>
      <c r="I119" s="22">
        <f>الجدول3[[#This Row],[O2]]/الجدول3[[#This Row],[N2]]</f>
        <v>0.2791946308724832</v>
      </c>
      <c r="J119" s="5">
        <v>13</v>
      </c>
      <c r="K119" s="5">
        <v>1675</v>
      </c>
      <c r="L119" s="5">
        <v>1</v>
      </c>
      <c r="M119" s="5">
        <v>3</v>
      </c>
      <c r="N119" s="42">
        <v>0</v>
      </c>
      <c r="O119" s="5">
        <v>2</v>
      </c>
      <c r="P119" s="5">
        <v>746</v>
      </c>
      <c r="Q119" s="5" t="s">
        <v>25</v>
      </c>
      <c r="R119" s="5" t="s">
        <v>90</v>
      </c>
      <c r="S119" s="5" t="s">
        <v>150</v>
      </c>
      <c r="T119" s="43">
        <f t="shared" si="29"/>
        <v>45946</v>
      </c>
      <c r="U119" s="5" t="str" cm="1">
        <f t="array" ref="U119">IFERROR(MID(S119,MATCH(TRUE,ISNUMBER(1*MID(S119,ROW($1:$10),1)),0),COUNT(1*MID(S119,ROW($1:$10),1))),"غير محدد")</f>
        <v>6</v>
      </c>
      <c r="V119" s="32" t="s">
        <v>57</v>
      </c>
      <c r="W119" s="26">
        <f>'اسيوط الوادي'!$K115/'اسيوط الوادي'!$P115</f>
        <v>2.9220272904483431</v>
      </c>
      <c r="X119" s="22">
        <f t="shared" si="30"/>
        <v>0</v>
      </c>
      <c r="Y119" s="22">
        <f t="shared" si="31"/>
        <v>0.33333333333333331</v>
      </c>
      <c r="Z119" s="26">
        <f t="shared" si="32"/>
        <v>0.15384615384615385</v>
      </c>
      <c r="AA119" s="22" t="str">
        <f t="shared" ca="1" si="33"/>
        <v xml:space="preserve">0   </v>
      </c>
      <c r="AB119" s="5"/>
      <c r="AC119" s="5"/>
    </row>
    <row r="120" spans="1:29" ht="25.15" customHeight="1" x14ac:dyDescent="0.2">
      <c r="A120" s="5" t="s">
        <v>74</v>
      </c>
      <c r="B120" s="5" t="s">
        <v>204</v>
      </c>
      <c r="C120" s="6" t="s">
        <v>28</v>
      </c>
      <c r="D120" s="40">
        <v>45763</v>
      </c>
      <c r="F120" s="5" t="str">
        <f t="shared" ca="1" si="28"/>
        <v xml:space="preserve">8  m 0  D </v>
      </c>
      <c r="G120" s="5">
        <v>14235</v>
      </c>
      <c r="H120" s="5">
        <v>52194</v>
      </c>
      <c r="I120" s="22">
        <f>الجدول3[[#This Row],[O2]]/الجدول3[[#This Row],[N2]]</f>
        <v>0.27273249798827454</v>
      </c>
      <c r="J120" s="5">
        <v>20</v>
      </c>
      <c r="K120" s="5">
        <v>2019</v>
      </c>
      <c r="L120" s="5">
        <v>1</v>
      </c>
      <c r="M120" s="5">
        <v>2</v>
      </c>
      <c r="N120" s="42">
        <v>0</v>
      </c>
      <c r="O120" s="5">
        <v>4</v>
      </c>
      <c r="P120" s="5">
        <v>918</v>
      </c>
      <c r="Q120" s="5" t="s">
        <v>25</v>
      </c>
      <c r="R120" s="5" t="s">
        <v>90</v>
      </c>
      <c r="S120" s="5" t="s">
        <v>150</v>
      </c>
      <c r="T120" s="43">
        <f t="shared" si="29"/>
        <v>45946</v>
      </c>
      <c r="U120" s="5" t="str" cm="1">
        <f t="array" ref="U120">IFERROR(MID(S120,MATCH(TRUE,ISNUMBER(1*MID(S120,ROW($1:$10),1)),0),COUNT(1*MID(S120,ROW($1:$10),1))),"غير محدد")</f>
        <v>6</v>
      </c>
      <c r="V120" s="32" t="s">
        <v>57</v>
      </c>
      <c r="W120" s="26">
        <f>'اسيوط الوادي'!$K114/'اسيوط الوادي'!$P114</f>
        <v>2.5209692451071763</v>
      </c>
      <c r="X120" s="22">
        <f t="shared" si="30"/>
        <v>0</v>
      </c>
      <c r="Y120" s="22">
        <f t="shared" si="31"/>
        <v>0.5</v>
      </c>
      <c r="Z120" s="26">
        <f t="shared" si="32"/>
        <v>0.2</v>
      </c>
      <c r="AA120" s="22" t="str">
        <f t="shared" ca="1" si="33"/>
        <v xml:space="preserve">0   </v>
      </c>
      <c r="AB120" s="5"/>
      <c r="AC120" s="5"/>
    </row>
    <row r="121" spans="1:29" ht="25.15" customHeight="1" x14ac:dyDescent="0.2">
      <c r="A121" s="5" t="s">
        <v>74</v>
      </c>
      <c r="B121" s="5" t="s">
        <v>201</v>
      </c>
      <c r="C121" s="6" t="s">
        <v>28</v>
      </c>
      <c r="D121" s="40">
        <v>45763</v>
      </c>
      <c r="F121" s="5" t="str">
        <f t="shared" ca="1" si="28"/>
        <v xml:space="preserve">8  m 0  D </v>
      </c>
      <c r="G121" s="5">
        <v>12322</v>
      </c>
      <c r="H121" s="5">
        <v>44053</v>
      </c>
      <c r="I121" s="22">
        <f>الجدول3[[#This Row],[O2]]/الجدول3[[#This Row],[N2]]</f>
        <v>0.27970853290354802</v>
      </c>
      <c r="J121" s="5">
        <v>12</v>
      </c>
      <c r="K121" s="5">
        <v>1693</v>
      </c>
      <c r="L121" s="5">
        <v>1</v>
      </c>
      <c r="M121" s="5">
        <v>4</v>
      </c>
      <c r="N121" s="42">
        <v>0</v>
      </c>
      <c r="O121" s="5">
        <v>3</v>
      </c>
      <c r="P121" s="5">
        <v>852</v>
      </c>
      <c r="Q121" s="5" t="s">
        <v>25</v>
      </c>
      <c r="R121" s="5" t="s">
        <v>90</v>
      </c>
      <c r="S121" s="5" t="s">
        <v>150</v>
      </c>
      <c r="T121" s="43">
        <f t="shared" si="29"/>
        <v>45946</v>
      </c>
      <c r="U121" s="5" t="str" cm="1">
        <f t="array" ref="U121">IFERROR(MID(S121,MATCH(TRUE,ISNUMBER(1*MID(S121,ROW($1:$10),1)),0),COUNT(1*MID(S121,ROW($1:$10),1))),"غير محدد")</f>
        <v>6</v>
      </c>
      <c r="V121" s="32" t="s">
        <v>57</v>
      </c>
      <c r="W121" s="26">
        <f>'اسيوط الوادي'!$K114/'اسيوط الوادي'!$P114</f>
        <v>2.5209692451071763</v>
      </c>
      <c r="X121" s="22">
        <f t="shared" si="30"/>
        <v>0</v>
      </c>
      <c r="Y121" s="22">
        <f t="shared" si="31"/>
        <v>0.25</v>
      </c>
      <c r="Z121" s="26">
        <f t="shared" si="32"/>
        <v>0.25</v>
      </c>
      <c r="AA121" s="22" t="str">
        <f t="shared" ca="1" si="33"/>
        <v xml:space="preserve">0   </v>
      </c>
      <c r="AB121" s="5"/>
      <c r="AC121" s="5"/>
    </row>
    <row r="122" spans="1:29" ht="25.15" customHeight="1" x14ac:dyDescent="0.2">
      <c r="A122" s="5" t="s">
        <v>74</v>
      </c>
      <c r="B122" s="5" t="s">
        <v>202</v>
      </c>
      <c r="C122" s="6" t="s">
        <v>28</v>
      </c>
      <c r="D122" s="40">
        <v>45420</v>
      </c>
      <c r="F122" s="5" t="str">
        <f t="shared" ca="1" si="28"/>
        <v xml:space="preserve">7  m 8  D </v>
      </c>
      <c r="G122" s="5">
        <v>5504</v>
      </c>
      <c r="H122" s="5">
        <v>24306</v>
      </c>
      <c r="I122" s="22">
        <f>الجدول3[[#This Row],[O2]]/الجدول3[[#This Row],[N2]]</f>
        <v>0.22644614498477741</v>
      </c>
      <c r="J122" s="5">
        <v>14</v>
      </c>
      <c r="K122" s="5">
        <v>1109</v>
      </c>
      <c r="L122" s="5">
        <v>1</v>
      </c>
      <c r="M122" s="5">
        <v>4</v>
      </c>
      <c r="N122" s="42">
        <v>0</v>
      </c>
      <c r="O122" s="5">
        <v>2</v>
      </c>
      <c r="P122" s="5">
        <v>407</v>
      </c>
      <c r="Q122" s="5" t="s">
        <v>21</v>
      </c>
      <c r="R122" s="5" t="s">
        <v>113</v>
      </c>
      <c r="S122" s="5" t="s">
        <v>70</v>
      </c>
      <c r="T122" s="43" t="str">
        <f t="shared" si="29"/>
        <v>غير محدد</v>
      </c>
      <c r="U122" s="5" t="str" cm="1">
        <f t="array" ref="U122">IFERROR(MID(S122,MATCH(TRUE,ISNUMBER(1*MID(S122,ROW($1:$10),1)),0),COUNT(1*MID(S122,ROW($1:$10),1))),"غير محدد")</f>
        <v>غير محدد</v>
      </c>
      <c r="V122" s="32" t="s">
        <v>93</v>
      </c>
      <c r="W122" s="26">
        <f>'اسيوط الوادي'!$K114/'اسيوط الوادي'!$P114</f>
        <v>2.5209692451071763</v>
      </c>
      <c r="X122" s="22">
        <f t="shared" si="30"/>
        <v>0</v>
      </c>
      <c r="Y122" s="22">
        <f t="shared" si="31"/>
        <v>0.25</v>
      </c>
      <c r="Z122" s="26">
        <f t="shared" si="32"/>
        <v>0.14285714285714285</v>
      </c>
      <c r="AA122" s="22" t="str">
        <f t="shared" ca="1" si="33"/>
        <v xml:space="preserve">0 </v>
      </c>
      <c r="AB122" s="5"/>
      <c r="AC122" s="5"/>
    </row>
    <row r="123" spans="1:29" ht="25.15" customHeight="1" x14ac:dyDescent="0.2">
      <c r="A123" s="5" t="s">
        <v>74</v>
      </c>
      <c r="B123" s="5" t="s">
        <v>202</v>
      </c>
      <c r="C123" s="6" t="s">
        <v>28</v>
      </c>
      <c r="D123" s="40">
        <v>45763</v>
      </c>
      <c r="F123" s="5" t="str">
        <f t="shared" ca="1" si="28"/>
        <v xml:space="preserve">8  m 0  D </v>
      </c>
      <c r="G123" s="5">
        <v>10540</v>
      </c>
      <c r="H123" s="5">
        <v>38220</v>
      </c>
      <c r="I123" s="22">
        <f>الجدول3[[#This Row],[O2]]/الجدول3[[#This Row],[N2]]</f>
        <v>0.27577184720041864</v>
      </c>
      <c r="J123" s="5">
        <v>10</v>
      </c>
      <c r="K123" s="5">
        <v>1668</v>
      </c>
      <c r="L123" s="5">
        <v>2</v>
      </c>
      <c r="M123" s="5">
        <v>6</v>
      </c>
      <c r="N123" s="42">
        <v>0</v>
      </c>
      <c r="O123" s="5">
        <v>2</v>
      </c>
      <c r="P123" s="5">
        <v>646</v>
      </c>
      <c r="Q123" s="5" t="s">
        <v>25</v>
      </c>
      <c r="R123" s="5" t="s">
        <v>90</v>
      </c>
      <c r="S123" s="5" t="s">
        <v>150</v>
      </c>
      <c r="T123" s="43">
        <f t="shared" si="29"/>
        <v>45946</v>
      </c>
      <c r="U123" s="5" t="str" cm="1">
        <f t="array" ref="U123">IFERROR(MID(S123,MATCH(TRUE,ISNUMBER(1*MID(S123,ROW($1:$10),1)),0),COUNT(1*MID(S123,ROW($1:$10),1))),"غير محدد")</f>
        <v>6</v>
      </c>
      <c r="V123" s="32" t="s">
        <v>57</v>
      </c>
      <c r="W123" s="26">
        <f>'اسيوط الوادي'!$K115/'اسيوط الوادي'!$P115</f>
        <v>2.9220272904483431</v>
      </c>
      <c r="X123" s="22">
        <f t="shared" si="30"/>
        <v>0</v>
      </c>
      <c r="Y123" s="22">
        <f t="shared" si="31"/>
        <v>0.33333333333333331</v>
      </c>
      <c r="Z123" s="26">
        <f t="shared" si="32"/>
        <v>0.2</v>
      </c>
      <c r="AA123" s="22" t="str">
        <f t="shared" ca="1" si="33"/>
        <v xml:space="preserve">0   </v>
      </c>
      <c r="AB123" s="5"/>
      <c r="AC123" s="5"/>
    </row>
    <row r="124" spans="1:29" ht="25.15" customHeight="1" x14ac:dyDescent="0.2">
      <c r="A124" s="5" t="s">
        <v>74</v>
      </c>
      <c r="B124" s="5" t="s">
        <v>203</v>
      </c>
      <c r="C124" s="6" t="s">
        <v>28</v>
      </c>
      <c r="D124" s="40">
        <v>45763</v>
      </c>
      <c r="F124" s="5" t="str">
        <f t="shared" ca="1" si="28"/>
        <v xml:space="preserve">8  m 0  D </v>
      </c>
      <c r="G124" s="5">
        <v>5909</v>
      </c>
      <c r="H124" s="5">
        <v>21611</v>
      </c>
      <c r="I124" s="22">
        <f>الجدول3[[#This Row],[O2]]/الجدول3[[#This Row],[N2]]</f>
        <v>0.27342557031141546</v>
      </c>
      <c r="J124" s="5">
        <v>19</v>
      </c>
      <c r="K124" s="5">
        <v>1438</v>
      </c>
      <c r="L124" s="5">
        <v>2</v>
      </c>
      <c r="M124" s="5">
        <v>3</v>
      </c>
      <c r="N124" s="42">
        <v>0</v>
      </c>
      <c r="O124" s="5">
        <v>2</v>
      </c>
      <c r="P124" s="5">
        <v>676</v>
      </c>
      <c r="Q124" s="5" t="s">
        <v>13</v>
      </c>
      <c r="R124" s="5" t="s">
        <v>90</v>
      </c>
      <c r="S124" s="5" t="s">
        <v>150</v>
      </c>
      <c r="T124" s="43">
        <f t="shared" si="29"/>
        <v>45946</v>
      </c>
      <c r="U124" s="5" t="str" cm="1">
        <f t="array" ref="U124">IFERROR(MID(S124,MATCH(TRUE,ISNUMBER(1*MID(S124,ROW($1:$10),1)),0),COUNT(1*MID(S124,ROW($1:$10),1))),"غير محدد")</f>
        <v>6</v>
      </c>
      <c r="V124" s="32" t="s">
        <v>57</v>
      </c>
      <c r="W124" s="26">
        <f>'اسيوط الوادي'!$K115/'اسيوط الوادي'!$P115</f>
        <v>2.9220272904483431</v>
      </c>
      <c r="X124" s="22">
        <f t="shared" si="30"/>
        <v>0</v>
      </c>
      <c r="Y124" s="22">
        <f t="shared" si="31"/>
        <v>0.66666666666666663</v>
      </c>
      <c r="Z124" s="26">
        <f t="shared" si="32"/>
        <v>0.10526315789473684</v>
      </c>
      <c r="AA124" s="22" t="str">
        <f t="shared" ca="1" si="33"/>
        <v xml:space="preserve">0   </v>
      </c>
      <c r="AB124" s="5"/>
      <c r="AC124" s="5"/>
    </row>
    <row r="125" spans="1:29" ht="25.15" customHeight="1" x14ac:dyDescent="0.2">
      <c r="A125" s="5" t="s">
        <v>94</v>
      </c>
      <c r="B125" s="5" t="s">
        <v>15</v>
      </c>
      <c r="C125" s="6" t="s">
        <v>27</v>
      </c>
      <c r="D125" s="40">
        <v>45137</v>
      </c>
      <c r="F125" s="5" t="str">
        <f t="shared" ca="1" si="28"/>
        <v xml:space="preserve">4  m 16  D </v>
      </c>
      <c r="G125" s="5">
        <v>235589</v>
      </c>
      <c r="H125" s="5">
        <v>1061914</v>
      </c>
      <c r="I125" s="22">
        <f>الجدول3[[#This Row],[O2]]/الجدول3[[#This Row],[N2]]</f>
        <v>0.22185318208442492</v>
      </c>
      <c r="J125" s="5">
        <v>31</v>
      </c>
      <c r="K125" s="5">
        <v>1709</v>
      </c>
      <c r="L125" s="5">
        <v>16</v>
      </c>
      <c r="M125" s="5">
        <v>16</v>
      </c>
      <c r="N125" s="42">
        <v>0</v>
      </c>
      <c r="O125" s="5">
        <v>16</v>
      </c>
      <c r="P125" s="5">
        <v>47</v>
      </c>
      <c r="Q125" s="5" t="s">
        <v>11</v>
      </c>
      <c r="R125" s="5">
        <v>2</v>
      </c>
      <c r="S125" s="5" t="s">
        <v>12</v>
      </c>
      <c r="T125" s="43" t="str">
        <f t="shared" si="29"/>
        <v>غير محدد</v>
      </c>
      <c r="U125" s="5" t="str" cm="1">
        <f t="array" ref="U125">IFERROR(MID(S125,MATCH(TRUE,ISNUMBER(1*MID(S125,ROW($1:$10),1)),0),COUNT(1*MID(S125,ROW($1:$10),1))),"غير محدد")</f>
        <v>غير محدد</v>
      </c>
      <c r="V125" s="32" t="s">
        <v>93</v>
      </c>
      <c r="W125" s="26">
        <f>'اسيوط الوادي'!$K125/'اسيوط الوادي'!$P125</f>
        <v>36.361702127659576</v>
      </c>
      <c r="X125" s="22">
        <f t="shared" si="30"/>
        <v>0</v>
      </c>
      <c r="Y125" s="22">
        <f t="shared" si="31"/>
        <v>1</v>
      </c>
      <c r="Z125" s="26">
        <f t="shared" si="32"/>
        <v>0.5161290322580645</v>
      </c>
      <c r="AA125" s="22" t="str">
        <f t="shared" ca="1" si="33"/>
        <v xml:space="preserve">0 </v>
      </c>
      <c r="AB125" s="5"/>
      <c r="AC125" s="5"/>
    </row>
    <row r="126" spans="1:29" ht="25.15" customHeight="1" x14ac:dyDescent="0.2">
      <c r="A126" s="5" t="s">
        <v>94</v>
      </c>
      <c r="B126" s="5" t="s">
        <v>15</v>
      </c>
      <c r="C126" s="6" t="s">
        <v>27</v>
      </c>
      <c r="D126" s="40">
        <v>45271</v>
      </c>
      <c r="F126" s="5" t="str">
        <f t="shared" ca="1" si="28"/>
        <v xml:space="preserve">0  m 5  D </v>
      </c>
      <c r="G126" s="5">
        <v>23866</v>
      </c>
      <c r="H126" s="5">
        <v>93574</v>
      </c>
      <c r="I126" s="22">
        <f>الجدول3[[#This Row],[O2]]/الجدول3[[#This Row],[N2]]</f>
        <v>0.25504947955628698</v>
      </c>
      <c r="J126" s="5">
        <v>6</v>
      </c>
      <c r="K126" s="5">
        <v>3469</v>
      </c>
      <c r="L126" s="5">
        <v>3</v>
      </c>
      <c r="M126" s="5">
        <v>2</v>
      </c>
      <c r="N126" s="42">
        <v>9</v>
      </c>
      <c r="O126" s="5">
        <v>2</v>
      </c>
      <c r="P126" s="5">
        <v>585</v>
      </c>
      <c r="Q126" s="5" t="s">
        <v>128</v>
      </c>
      <c r="R126" s="5" t="s">
        <v>90</v>
      </c>
      <c r="S126" s="5" t="s">
        <v>99</v>
      </c>
      <c r="T126" s="43" t="str">
        <f t="shared" si="29"/>
        <v>غير محدد</v>
      </c>
      <c r="U126" s="5" t="str" cm="1">
        <f t="array" ref="U126">IFERROR(MID(S126,MATCH(TRUE,ISNUMBER(1*MID(S126,ROW($1:$10),1)),0),COUNT(1*MID(S126,ROW($1:$10),1))),"غير محدد")</f>
        <v>غير محدد</v>
      </c>
      <c r="V126" s="32" t="s">
        <v>93</v>
      </c>
      <c r="W126" s="26">
        <f>'اسيوط الوادي'!$K126/'اسيوط الوادي'!$P126</f>
        <v>5.9299145299145302</v>
      </c>
      <c r="X126" s="22">
        <f t="shared" si="30"/>
        <v>3</v>
      </c>
      <c r="Y126" s="22">
        <f t="shared" si="31"/>
        <v>1.5</v>
      </c>
      <c r="Z126" s="26">
        <f t="shared" si="32"/>
        <v>0.33333333333333331</v>
      </c>
      <c r="AA126" s="22" t="str">
        <f t="shared" ca="1" si="33"/>
        <v xml:space="preserve">0 </v>
      </c>
      <c r="AB126" s="5"/>
      <c r="AC126" s="5"/>
    </row>
    <row r="127" spans="1:29" ht="25.15" customHeight="1" x14ac:dyDescent="0.2">
      <c r="A127" s="5" t="s">
        <v>94</v>
      </c>
      <c r="B127" s="5" t="s">
        <v>15</v>
      </c>
      <c r="C127" s="6" t="s">
        <v>27</v>
      </c>
      <c r="D127" s="40">
        <v>45301</v>
      </c>
      <c r="F127" s="5" t="str">
        <f t="shared" ca="1" si="28"/>
        <v xml:space="preserve">11  m 6  D </v>
      </c>
      <c r="G127" s="5">
        <v>4338</v>
      </c>
      <c r="H127" s="5">
        <v>19353</v>
      </c>
      <c r="I127" s="22">
        <f>الجدول3[[#This Row],[O2]]/الجدول3[[#This Row],[N2]]</f>
        <v>0.22415129437296544</v>
      </c>
      <c r="J127" s="5">
        <v>23</v>
      </c>
      <c r="K127" s="5">
        <v>1290</v>
      </c>
      <c r="L127" s="5">
        <v>2</v>
      </c>
      <c r="M127" s="5">
        <v>4</v>
      </c>
      <c r="N127" s="42">
        <v>0</v>
      </c>
      <c r="O127" s="5">
        <v>1</v>
      </c>
      <c r="P127" s="5">
        <v>73</v>
      </c>
      <c r="Q127" s="5" t="s">
        <v>21</v>
      </c>
      <c r="R127" s="5" t="s">
        <v>113</v>
      </c>
      <c r="S127" s="5" t="s">
        <v>70</v>
      </c>
      <c r="T127" s="43" t="str">
        <f t="shared" si="29"/>
        <v>غير محدد</v>
      </c>
      <c r="U127" s="5" t="str" cm="1">
        <f t="array" ref="U127">IFERROR(MID(S127,MATCH(TRUE,ISNUMBER(1*MID(S127,ROW($1:$10),1)),0),COUNT(1*MID(S127,ROW($1:$10),1))),"غير محدد")</f>
        <v>غير محدد</v>
      </c>
      <c r="V127" s="32" t="s">
        <v>93</v>
      </c>
      <c r="W127" s="26">
        <f>'اسيوط الوادي'!$K127/'اسيوط الوادي'!$P127</f>
        <v>17.671232876712327</v>
      </c>
      <c r="X127" s="22">
        <f t="shared" si="30"/>
        <v>0</v>
      </c>
      <c r="Y127" s="22">
        <f t="shared" si="31"/>
        <v>0.5</v>
      </c>
      <c r="Z127" s="26">
        <f t="shared" si="32"/>
        <v>4.3478260869565216E-2</v>
      </c>
      <c r="AA127" s="22" t="str">
        <f t="shared" ca="1" si="33"/>
        <v xml:space="preserve">0 </v>
      </c>
      <c r="AB127" s="5"/>
      <c r="AC127" s="5"/>
    </row>
    <row r="128" spans="1:29" ht="25.15" customHeight="1" x14ac:dyDescent="0.2">
      <c r="A128" s="5" t="s">
        <v>94</v>
      </c>
      <c r="B128" s="5" t="s">
        <v>15</v>
      </c>
      <c r="C128" s="6" t="s">
        <v>27</v>
      </c>
      <c r="D128" s="40" t="s">
        <v>114</v>
      </c>
      <c r="F128" s="5" t="str">
        <f t="shared" ca="1" si="28"/>
        <v xml:space="preserve">2  m 8  D </v>
      </c>
      <c r="G128" s="5">
        <v>29540</v>
      </c>
      <c r="H128" s="5">
        <v>138991</v>
      </c>
      <c r="I128" s="22">
        <f>الجدول3[[#This Row],[O2]]/الجدول3[[#This Row],[N2]]</f>
        <v>0.21253174665985566</v>
      </c>
      <c r="J128" s="5">
        <v>14</v>
      </c>
      <c r="K128" s="5">
        <v>4183</v>
      </c>
      <c r="L128" s="5">
        <v>4</v>
      </c>
      <c r="M128" s="5">
        <v>3</v>
      </c>
      <c r="N128" s="42">
        <v>8</v>
      </c>
      <c r="O128" s="5">
        <v>5</v>
      </c>
      <c r="P128" s="5">
        <v>565</v>
      </c>
      <c r="Q128" s="5" t="s">
        <v>11</v>
      </c>
      <c r="R128" s="5">
        <v>2</v>
      </c>
      <c r="S128" s="5" t="s">
        <v>12</v>
      </c>
      <c r="T128" s="43" t="str">
        <f t="shared" si="29"/>
        <v>غير محدد</v>
      </c>
      <c r="U128" s="5" t="str" cm="1">
        <f t="array" ref="U128">IFERROR(MID(S128,MATCH(TRUE,ISNUMBER(1*MID(S128,ROW($1:$10),1)),0),COUNT(1*MID(S128,ROW($1:$10),1))),"غير محدد")</f>
        <v>غير محدد</v>
      </c>
      <c r="V128" s="32" t="s">
        <v>93</v>
      </c>
      <c r="W128" s="26">
        <f>'اسيوط الوادي'!$K128/'اسيوط الوادي'!$P128</f>
        <v>7.4035398230088498</v>
      </c>
      <c r="X128" s="22">
        <f t="shared" si="30"/>
        <v>2</v>
      </c>
      <c r="Y128" s="22">
        <f t="shared" si="31"/>
        <v>1.3333333333333333</v>
      </c>
      <c r="Z128" s="26">
        <f t="shared" si="32"/>
        <v>0.35714285714285715</v>
      </c>
      <c r="AA128" s="22" t="str">
        <f t="shared" ca="1" si="33"/>
        <v xml:space="preserve">0 </v>
      </c>
      <c r="AB128" s="5"/>
      <c r="AC128" s="5"/>
    </row>
    <row r="129" spans="1:29" ht="25.15" customHeight="1" x14ac:dyDescent="0.2">
      <c r="A129" s="5" t="s">
        <v>215</v>
      </c>
      <c r="B129" s="5" t="s">
        <v>18</v>
      </c>
      <c r="C129" s="6" t="s">
        <v>19</v>
      </c>
      <c r="D129" s="40">
        <v>45858</v>
      </c>
      <c r="E129" s="40">
        <v>45916</v>
      </c>
      <c r="F129" s="5" t="str">
        <f ca="1">IFERROR(DATEDIF(D129,TODAY(),"YM") &amp; "  m " &amp; DATEDIF(D129,TODAY(),"MD") &amp; "  D "," ")</f>
        <v xml:space="preserve">4  m 26  D </v>
      </c>
      <c r="G129" s="5">
        <v>41846</v>
      </c>
      <c r="H129" s="5">
        <v>115267</v>
      </c>
      <c r="I129" s="22">
        <f>'اسيوط الوادي'!$G129/'اسيوط الوادي'!$H129</f>
        <v>0.36303538740489472</v>
      </c>
      <c r="J129" s="5">
        <v>62</v>
      </c>
      <c r="K129" s="5">
        <v>4953</v>
      </c>
      <c r="L129" s="5">
        <v>10</v>
      </c>
      <c r="M129" s="5">
        <v>1</v>
      </c>
      <c r="N129" s="42">
        <v>0</v>
      </c>
      <c r="O129" s="5">
        <v>1</v>
      </c>
      <c r="P129" s="5">
        <v>154</v>
      </c>
      <c r="Q129" s="5" t="s">
        <v>13</v>
      </c>
      <c r="R129" s="5" t="s">
        <v>90</v>
      </c>
      <c r="S129" s="5" t="s">
        <v>153</v>
      </c>
      <c r="T129" s="43">
        <f>IFERROR(IF(V129&gt;=1,EDATE(D129,U129),"غير محدد"),"غير محدد")</f>
        <v>45950</v>
      </c>
      <c r="U129" s="5" t="str" cm="1">
        <f t="array" ref="U129">IFERROR(MID(S129,MATCH(TRUE,ISNUMBER(1*MID(S129,ROW($1:$10),1)),0),COUNT(1*MID(S129,ROW($1:$10),1))),"غير محدد")</f>
        <v>3</v>
      </c>
      <c r="V129" s="32" t="s">
        <v>57</v>
      </c>
      <c r="W129" s="26">
        <f>'اسيوط الوادي'!$K129/'اسيوط الوادي'!$P129</f>
        <v>32.162337662337663</v>
      </c>
      <c r="X129" s="22">
        <f>N129/L129</f>
        <v>0</v>
      </c>
      <c r="Y129" s="22">
        <f>L129/M129</f>
        <v>10</v>
      </c>
      <c r="Z129" s="26">
        <f>O129/J129</f>
        <v>1.6129032258064516E-2</v>
      </c>
      <c r="AA129" s="22" t="str">
        <f ca="1">IFERROR(DATEDIF(T129,TODAY(),"MD") &amp; "   ","0 ")</f>
        <v xml:space="preserve">26   </v>
      </c>
      <c r="AB129" s="5"/>
      <c r="AC129" s="5"/>
    </row>
    <row r="130" spans="1:29" ht="25.15" customHeight="1" x14ac:dyDescent="0.2">
      <c r="A130" s="5" t="s">
        <v>215</v>
      </c>
      <c r="B130" s="5" t="s">
        <v>24</v>
      </c>
      <c r="C130" s="6" t="s">
        <v>19</v>
      </c>
      <c r="D130" s="40">
        <v>45858</v>
      </c>
      <c r="E130" s="40">
        <v>45916</v>
      </c>
      <c r="F130" s="5" t="str">
        <f ca="1">IFERROR(DATEDIF(D130,TODAY(),"YM") &amp; "  m " &amp; DATEDIF(D130,TODAY(),"MD") &amp; "  D "," ")</f>
        <v xml:space="preserve">4  m 26  D </v>
      </c>
      <c r="G130" s="5">
        <v>15733</v>
      </c>
      <c r="H130" s="5">
        <v>111341</v>
      </c>
      <c r="I130" s="22">
        <f>'اسيوط الوادي'!$G130/'اسيوط الوادي'!$H130</f>
        <v>0.14130464069839502</v>
      </c>
      <c r="J130" s="5">
        <v>13</v>
      </c>
      <c r="K130" s="5">
        <v>28935</v>
      </c>
      <c r="L130" s="5">
        <v>1</v>
      </c>
      <c r="M130" s="5">
        <v>1</v>
      </c>
      <c r="N130" s="42">
        <v>0</v>
      </c>
      <c r="O130" s="5">
        <v>1</v>
      </c>
      <c r="P130" s="5">
        <v>1244</v>
      </c>
      <c r="Q130" s="5" t="s">
        <v>13</v>
      </c>
      <c r="R130" s="5" t="s">
        <v>90</v>
      </c>
      <c r="S130" s="5" t="s">
        <v>150</v>
      </c>
      <c r="T130" s="43">
        <f>IFERROR(IF(V130&gt;=1,EDATE(D130,U130),"غير محدد"),"غير محدد")</f>
        <v>46042</v>
      </c>
      <c r="U130" s="5" t="str" cm="1">
        <f t="array" ref="U130">IFERROR(MID(S130,MATCH(TRUE,ISNUMBER(1*MID(S130,ROW($1:$10),1)),0),COUNT(1*MID(S130,ROW($1:$10),1))),"غير محدد")</f>
        <v>6</v>
      </c>
      <c r="V130" s="32" t="s">
        <v>57</v>
      </c>
      <c r="W130" s="26">
        <f>'اسيوط الوادي'!$K130/'اسيوط الوادي'!$P130</f>
        <v>23.259646302250804</v>
      </c>
      <c r="X130" s="22">
        <f>N130/L130</f>
        <v>0</v>
      </c>
      <c r="Y130" s="22">
        <f>L130/M130</f>
        <v>1</v>
      </c>
      <c r="Z130" s="26">
        <f>O130/J130</f>
        <v>7.6923076923076927E-2</v>
      </c>
      <c r="AA130" s="22" t="str">
        <f ca="1">IFERROR(DATEDIF(T130,TODAY(),"MD") &amp; "   ","0 ")</f>
        <v xml:space="preserve">0 </v>
      </c>
      <c r="AB130" s="5"/>
      <c r="AC130" s="5"/>
    </row>
    <row r="131" spans="1:29" ht="25.15" customHeight="1" x14ac:dyDescent="0.2">
      <c r="A131" s="5" t="s">
        <v>205</v>
      </c>
      <c r="B131" s="5" t="s">
        <v>39</v>
      </c>
      <c r="C131" s="6" t="s">
        <v>27</v>
      </c>
      <c r="D131" s="40">
        <v>45754</v>
      </c>
      <c r="F131" s="5" t="str">
        <f t="shared" ca="1" si="28"/>
        <v xml:space="preserve">8  m 9  D </v>
      </c>
      <c r="G131" s="5">
        <v>21107</v>
      </c>
      <c r="H131" s="5">
        <v>53157</v>
      </c>
      <c r="I131" s="22">
        <f>'اسيوط الوادي'!$G175/'اسيوط الوادي'!$H175</f>
        <v>4.2979584697268799E-2</v>
      </c>
      <c r="J131" s="5">
        <v>70</v>
      </c>
      <c r="K131" s="5">
        <v>2730</v>
      </c>
      <c r="L131" s="5">
        <v>4</v>
      </c>
      <c r="M131" s="5">
        <v>4</v>
      </c>
      <c r="N131" s="42">
        <v>0</v>
      </c>
      <c r="O131" s="5">
        <v>12</v>
      </c>
      <c r="P131" s="5">
        <v>342</v>
      </c>
      <c r="Q131" s="5" t="s">
        <v>25</v>
      </c>
      <c r="R131" s="5" t="s">
        <v>90</v>
      </c>
      <c r="S131" s="5" t="s">
        <v>151</v>
      </c>
      <c r="T131" s="43">
        <f t="shared" si="29"/>
        <v>45784</v>
      </c>
      <c r="U131" s="5" t="str" cm="1">
        <f t="array" ref="U131">IFERROR(MID(S131,MATCH(TRUE,ISNUMBER(1*MID(S131,ROW($1:$10),1)),0),COUNT(1*MID(S131,ROW($1:$10),1))),"غير محدد")</f>
        <v>1</v>
      </c>
      <c r="V131" s="32" t="s">
        <v>57</v>
      </c>
      <c r="W131" s="26">
        <f>'اسيوط الوادي'!$K175/'اسيوط الوادي'!$P175</f>
        <v>6.2376237623762378</v>
      </c>
      <c r="X131" s="22">
        <f t="shared" si="30"/>
        <v>0</v>
      </c>
      <c r="Y131" s="22">
        <f t="shared" si="31"/>
        <v>1</v>
      </c>
      <c r="Z131" s="26">
        <f t="shared" si="32"/>
        <v>0.17142857142857143</v>
      </c>
      <c r="AA131" s="22" t="str">
        <f t="shared" ca="1" si="33"/>
        <v xml:space="preserve">9   </v>
      </c>
      <c r="AB131" s="5"/>
      <c r="AC131" s="5"/>
    </row>
    <row r="132" spans="1:29" ht="25.15" customHeight="1" x14ac:dyDescent="0.2">
      <c r="A132" s="5" t="s">
        <v>69</v>
      </c>
      <c r="B132" s="5" t="s">
        <v>67</v>
      </c>
      <c r="C132" s="6" t="s">
        <v>16</v>
      </c>
      <c r="D132" s="40">
        <v>43235</v>
      </c>
      <c r="F132" s="5" t="str">
        <f t="shared" ca="1" si="28"/>
        <v xml:space="preserve">7  m 1  D </v>
      </c>
      <c r="G132" s="5">
        <v>4395</v>
      </c>
      <c r="H132" s="5">
        <v>45310</v>
      </c>
      <c r="I132" s="22">
        <f>الجدول3[[#This Row],[O2]]/الجدول3[[#This Row],[N2]]</f>
        <v>9.6998455087177221E-2</v>
      </c>
      <c r="J132" s="5">
        <v>21</v>
      </c>
      <c r="K132" s="5">
        <v>1674</v>
      </c>
      <c r="L132" s="5">
        <v>4</v>
      </c>
      <c r="M132" s="5">
        <v>1</v>
      </c>
      <c r="N132" s="42">
        <v>2</v>
      </c>
      <c r="O132" s="5">
        <v>0</v>
      </c>
      <c r="P132" s="5">
        <v>108</v>
      </c>
      <c r="Q132" s="5" t="s">
        <v>21</v>
      </c>
      <c r="R132" s="5">
        <v>1</v>
      </c>
      <c r="S132" s="5" t="s">
        <v>70</v>
      </c>
      <c r="T132" s="43" t="str">
        <f t="shared" si="29"/>
        <v>غير محدد</v>
      </c>
      <c r="U132" s="5" t="str" cm="1">
        <f t="array" ref="U132">IFERROR(MID(S132,MATCH(TRUE,ISNUMBER(1*MID(S132,ROW($1:$10),1)),0),COUNT(1*MID(S132,ROW($1:$10),1))),"غير محدد")</f>
        <v>غير محدد</v>
      </c>
      <c r="V132" s="32" t="s">
        <v>93</v>
      </c>
      <c r="W132" s="26">
        <f>'اسيوط الوادي'!$K131/'اسيوط الوادي'!$P131</f>
        <v>7.9824561403508776</v>
      </c>
      <c r="X132" s="22">
        <f t="shared" si="30"/>
        <v>0.5</v>
      </c>
      <c r="Y132" s="22">
        <f t="shared" si="31"/>
        <v>4</v>
      </c>
      <c r="Z132" s="26">
        <f t="shared" si="32"/>
        <v>0</v>
      </c>
      <c r="AA132" s="22" t="str">
        <f t="shared" ca="1" si="33"/>
        <v xml:space="preserve">0 </v>
      </c>
      <c r="AB132" s="5"/>
      <c r="AC132" s="5"/>
    </row>
    <row r="133" spans="1:29" s="32" customFormat="1" ht="25.15" customHeight="1" x14ac:dyDescent="0.2">
      <c r="A133" s="5" t="s">
        <v>69</v>
      </c>
      <c r="B133" s="5" t="s">
        <v>67</v>
      </c>
      <c r="C133" s="6" t="s">
        <v>16</v>
      </c>
      <c r="D133" s="40">
        <v>43600</v>
      </c>
      <c r="E133" s="40"/>
      <c r="F133" s="5" t="str">
        <f t="shared" ca="1" si="28"/>
        <v xml:space="preserve">7  m 1  D </v>
      </c>
      <c r="G133" s="5">
        <v>14084</v>
      </c>
      <c r="H133" s="5">
        <v>56214</v>
      </c>
      <c r="I133" s="22">
        <f>الجدول3[[#This Row],[O2]]/الجدول3[[#This Row],[N2]]</f>
        <v>0.25054256946668091</v>
      </c>
      <c r="J133" s="5">
        <v>22</v>
      </c>
      <c r="K133" s="5">
        <v>866</v>
      </c>
      <c r="L133" s="5">
        <v>1</v>
      </c>
      <c r="M133" s="5">
        <v>5</v>
      </c>
      <c r="N133" s="42">
        <v>4</v>
      </c>
      <c r="O133" s="5">
        <v>0</v>
      </c>
      <c r="P133" s="5">
        <v>252</v>
      </c>
      <c r="Q133" s="5" t="s">
        <v>21</v>
      </c>
      <c r="R133" s="5">
        <v>1</v>
      </c>
      <c r="S133" s="5" t="s">
        <v>70</v>
      </c>
      <c r="T133" s="43" t="str">
        <f t="shared" si="29"/>
        <v>غير محدد</v>
      </c>
      <c r="U133" s="5" t="str" cm="1">
        <f t="array" ref="U133">IFERROR(MID(S133,MATCH(TRUE,ISNUMBER(1*MID(S133,ROW($1:$10),1)),0),COUNT(1*MID(S133,ROW($1:$10),1))),"غير محدد")</f>
        <v>غير محدد</v>
      </c>
      <c r="V133" s="32" t="s">
        <v>93</v>
      </c>
      <c r="W133" s="26">
        <f>'اسيوط الوادي'!$K132/'اسيوط الوادي'!$P132</f>
        <v>15.5</v>
      </c>
      <c r="X133" s="22">
        <f t="shared" si="30"/>
        <v>4</v>
      </c>
      <c r="Y133" s="22">
        <f t="shared" si="31"/>
        <v>0.2</v>
      </c>
      <c r="Z133" s="26">
        <f t="shared" si="32"/>
        <v>0</v>
      </c>
      <c r="AA133" s="22" t="str">
        <f t="shared" ca="1" si="33"/>
        <v xml:space="preserve">0 </v>
      </c>
    </row>
    <row r="134" spans="1:29" s="32" customFormat="1" ht="25.15" customHeight="1" x14ac:dyDescent="0.2">
      <c r="A134" s="5" t="s">
        <v>69</v>
      </c>
      <c r="B134" s="5" t="s">
        <v>67</v>
      </c>
      <c r="C134" s="6" t="s">
        <v>16</v>
      </c>
      <c r="D134" s="40">
        <v>43982</v>
      </c>
      <c r="E134" s="40"/>
      <c r="F134" s="5" t="str">
        <f t="shared" ref="F134:F165" ca="1" si="34">IFERROR(DATEDIF(D134,TODAY(),"YM") &amp; "  m " &amp; DATEDIF(D134,TODAY(),"MD") &amp; "  D "," ")</f>
        <v xml:space="preserve">6  m 15  D </v>
      </c>
      <c r="G134" s="5">
        <v>3165</v>
      </c>
      <c r="H134" s="5">
        <v>90885</v>
      </c>
      <c r="I134" s="22">
        <f>الجدول3[[#This Row],[O2]]/الجدول3[[#This Row],[N2]]</f>
        <v>3.4824228420531442E-2</v>
      </c>
      <c r="J134" s="5">
        <v>11</v>
      </c>
      <c r="K134" s="5">
        <v>3048</v>
      </c>
      <c r="L134" s="5">
        <v>9</v>
      </c>
      <c r="M134" s="5">
        <v>12</v>
      </c>
      <c r="N134" s="42">
        <v>0</v>
      </c>
      <c r="O134" s="5">
        <v>3</v>
      </c>
      <c r="P134" s="5">
        <v>493</v>
      </c>
      <c r="Q134" s="5" t="s">
        <v>21</v>
      </c>
      <c r="R134" s="5">
        <v>1</v>
      </c>
      <c r="S134" s="5" t="s">
        <v>70</v>
      </c>
      <c r="T134" s="43" t="str">
        <f t="shared" ref="T134:T165" si="35">IFERROR(IF(V134&gt;=1,EDATE(D134,U134),"غير محدد"),"غير محدد")</f>
        <v>غير محدد</v>
      </c>
      <c r="U134" s="5" t="str" cm="1">
        <f t="array" ref="U134">IFERROR(MID(S134,MATCH(TRUE,ISNUMBER(1*MID(S134,ROW($1:$10),1)),0),COUNT(1*MID(S134,ROW($1:$10),1))),"غير محدد")</f>
        <v>غير محدد</v>
      </c>
      <c r="V134" s="32" t="s">
        <v>93</v>
      </c>
      <c r="W134" s="26">
        <f>'اسيوط الوادي'!$K133/'اسيوط الوادي'!$P133</f>
        <v>3.4365079365079363</v>
      </c>
      <c r="X134" s="22">
        <f t="shared" ref="X134:X165" si="36">N134/L134</f>
        <v>0</v>
      </c>
      <c r="Y134" s="22">
        <f t="shared" ref="Y134:Y165" si="37">L134/M134</f>
        <v>0.75</v>
      </c>
      <c r="Z134" s="26">
        <f t="shared" ref="Z134:Z165" si="38">O134/J134</f>
        <v>0.27272727272727271</v>
      </c>
      <c r="AA134" s="22" t="str">
        <f t="shared" ref="AA134:AA165" ca="1" si="39">IFERROR(DATEDIF(T134,TODAY(),"MD") &amp; "   ","0 ")</f>
        <v xml:space="preserve">0 </v>
      </c>
    </row>
    <row r="135" spans="1:29" s="32" customFormat="1" ht="25.15" customHeight="1" x14ac:dyDescent="0.2">
      <c r="A135" s="5" t="s">
        <v>69</v>
      </c>
      <c r="B135" s="5" t="s">
        <v>67</v>
      </c>
      <c r="C135" s="6" t="s">
        <v>16</v>
      </c>
      <c r="D135" s="40">
        <v>43982</v>
      </c>
      <c r="E135" s="40"/>
      <c r="F135" s="5" t="str">
        <f t="shared" ca="1" si="34"/>
        <v xml:space="preserve">6  m 15  D </v>
      </c>
      <c r="G135" s="5">
        <v>3165</v>
      </c>
      <c r="H135" s="5">
        <v>90885</v>
      </c>
      <c r="I135" s="22">
        <f>الجدول3[[#This Row],[O2]]/الجدول3[[#This Row],[N2]]</f>
        <v>3.4824228420531442E-2</v>
      </c>
      <c r="J135" s="5">
        <v>11</v>
      </c>
      <c r="K135" s="5">
        <v>3048</v>
      </c>
      <c r="L135" s="5">
        <v>9</v>
      </c>
      <c r="M135" s="5">
        <v>3</v>
      </c>
      <c r="N135" s="42">
        <v>12</v>
      </c>
      <c r="O135" s="5">
        <v>0</v>
      </c>
      <c r="P135" s="5">
        <v>493</v>
      </c>
      <c r="Q135" s="5" t="s">
        <v>21</v>
      </c>
      <c r="R135" s="5">
        <v>1</v>
      </c>
      <c r="S135" s="5" t="s">
        <v>70</v>
      </c>
      <c r="T135" s="43" t="str">
        <f t="shared" si="35"/>
        <v>غير محدد</v>
      </c>
      <c r="U135" s="5" t="str" cm="1">
        <f t="array" ref="U135">IFERROR(MID(S135,MATCH(TRUE,ISNUMBER(1*MID(S135,ROW($1:$10),1)),0),COUNT(1*MID(S135,ROW($1:$10),1))),"غير محدد")</f>
        <v>غير محدد</v>
      </c>
      <c r="V135" s="32" t="s">
        <v>93</v>
      </c>
      <c r="W135" s="26">
        <f>'اسيوط الوادي'!$K134/'اسيوط الوادي'!$P134</f>
        <v>6.1825557809330629</v>
      </c>
      <c r="X135" s="22">
        <f t="shared" si="36"/>
        <v>1.3333333333333333</v>
      </c>
      <c r="Y135" s="22">
        <f t="shared" si="37"/>
        <v>3</v>
      </c>
      <c r="Z135" s="26">
        <f t="shared" si="38"/>
        <v>0</v>
      </c>
      <c r="AA135" s="22" t="str">
        <f t="shared" ca="1" si="39"/>
        <v xml:space="preserve">0 </v>
      </c>
    </row>
    <row r="136" spans="1:29" s="32" customFormat="1" ht="25.15" customHeight="1" x14ac:dyDescent="0.2">
      <c r="A136" s="5" t="s">
        <v>69</v>
      </c>
      <c r="B136" s="5" t="s">
        <v>67</v>
      </c>
      <c r="C136" s="6" t="s">
        <v>27</v>
      </c>
      <c r="D136" s="40">
        <v>44340</v>
      </c>
      <c r="E136" s="40"/>
      <c r="F136" s="5" t="str">
        <f t="shared" ca="1" si="34"/>
        <v xml:space="preserve">6  m 22  D </v>
      </c>
      <c r="G136" s="5">
        <v>3358</v>
      </c>
      <c r="H136" s="5">
        <v>129308</v>
      </c>
      <c r="I136" s="22">
        <f>الجدول3[[#This Row],[O2]]/الجدول3[[#This Row],[N2]]</f>
        <v>2.5969004237943516E-2</v>
      </c>
      <c r="J136" s="5">
        <v>35</v>
      </c>
      <c r="K136" s="5">
        <v>6174</v>
      </c>
      <c r="L136" s="5">
        <v>4</v>
      </c>
      <c r="M136" s="5">
        <v>16</v>
      </c>
      <c r="N136" s="42">
        <v>0</v>
      </c>
      <c r="O136" s="5">
        <v>2</v>
      </c>
      <c r="P136" s="5">
        <v>509</v>
      </c>
      <c r="Q136" s="5" t="s">
        <v>21</v>
      </c>
      <c r="R136" s="5">
        <v>1</v>
      </c>
      <c r="S136" s="5" t="s">
        <v>22</v>
      </c>
      <c r="T136" s="43" t="str">
        <f t="shared" si="35"/>
        <v>غير محدد</v>
      </c>
      <c r="U136" s="5" t="str" cm="1">
        <f t="array" ref="U136">IFERROR(MID(S136,MATCH(TRUE,ISNUMBER(1*MID(S136,ROW($1:$10),1)),0),COUNT(1*MID(S136,ROW($1:$10),1))),"غير محدد")</f>
        <v>غير محدد</v>
      </c>
      <c r="V136" s="32" t="s">
        <v>93</v>
      </c>
      <c r="W136" s="26">
        <f>'اسيوط الوادي'!$K135/'اسيوط الوادي'!$P135</f>
        <v>6.1825557809330629</v>
      </c>
      <c r="X136" s="22">
        <f t="shared" si="36"/>
        <v>0</v>
      </c>
      <c r="Y136" s="22">
        <f t="shared" si="37"/>
        <v>0.25</v>
      </c>
      <c r="Z136" s="26">
        <f t="shared" si="38"/>
        <v>5.7142857142857141E-2</v>
      </c>
      <c r="AA136" s="22" t="str">
        <f t="shared" ca="1" si="39"/>
        <v xml:space="preserve">0 </v>
      </c>
    </row>
    <row r="137" spans="1:29" s="32" customFormat="1" ht="25.15" customHeight="1" x14ac:dyDescent="0.2">
      <c r="A137" s="5" t="s">
        <v>69</v>
      </c>
      <c r="B137" s="5" t="s">
        <v>67</v>
      </c>
      <c r="C137" s="6" t="s">
        <v>16</v>
      </c>
      <c r="D137" s="40">
        <v>44340</v>
      </c>
      <c r="E137" s="40"/>
      <c r="F137" s="5" t="str">
        <f t="shared" ca="1" si="34"/>
        <v xml:space="preserve">6  m 22  D </v>
      </c>
      <c r="G137" s="5">
        <v>7018</v>
      </c>
      <c r="H137" s="5">
        <v>85842</v>
      </c>
      <c r="I137" s="22">
        <f>الجدول3[[#This Row],[O2]]/الجدول3[[#This Row],[N2]]</f>
        <v>8.1754851937280118E-2</v>
      </c>
      <c r="J137" s="5">
        <v>7</v>
      </c>
      <c r="K137" s="5">
        <v>3758</v>
      </c>
      <c r="L137" s="5">
        <v>4</v>
      </c>
      <c r="M137" s="5">
        <v>13</v>
      </c>
      <c r="N137" s="42">
        <v>0</v>
      </c>
      <c r="O137" s="5">
        <v>2</v>
      </c>
      <c r="P137" s="5">
        <v>640</v>
      </c>
      <c r="Q137" s="5" t="s">
        <v>21</v>
      </c>
      <c r="R137" s="5">
        <v>1</v>
      </c>
      <c r="S137" s="5" t="s">
        <v>22</v>
      </c>
      <c r="T137" s="43" t="str">
        <f t="shared" si="35"/>
        <v>غير محدد</v>
      </c>
      <c r="U137" s="5" t="str" cm="1">
        <f t="array" ref="U137">IFERROR(MID(S137,MATCH(TRUE,ISNUMBER(1*MID(S137,ROW($1:$10),1)),0),COUNT(1*MID(S137,ROW($1:$10),1))),"غير محدد")</f>
        <v>غير محدد</v>
      </c>
      <c r="V137" s="32" t="s">
        <v>93</v>
      </c>
      <c r="W137" s="26">
        <f>'اسيوط الوادي'!$K136/'اسيوط الوادي'!$P136</f>
        <v>12.129666011787819</v>
      </c>
      <c r="X137" s="22">
        <f t="shared" si="36"/>
        <v>0</v>
      </c>
      <c r="Y137" s="22">
        <f t="shared" si="37"/>
        <v>0.30769230769230771</v>
      </c>
      <c r="Z137" s="26">
        <f t="shared" si="38"/>
        <v>0.2857142857142857</v>
      </c>
      <c r="AA137" s="22" t="str">
        <f t="shared" ca="1" si="39"/>
        <v xml:space="preserve">0 </v>
      </c>
    </row>
    <row r="138" spans="1:29" s="32" customFormat="1" ht="25.15" customHeight="1" x14ac:dyDescent="0.2">
      <c r="A138" s="5" t="s">
        <v>69</v>
      </c>
      <c r="B138" s="5" t="s">
        <v>67</v>
      </c>
      <c r="C138" s="6" t="s">
        <v>16</v>
      </c>
      <c r="D138" s="40">
        <v>44707</v>
      </c>
      <c r="E138" s="40"/>
      <c r="F138" s="5" t="str">
        <f t="shared" ca="1" si="34"/>
        <v xml:space="preserve">6  m 20  D </v>
      </c>
      <c r="G138" s="5">
        <v>5184</v>
      </c>
      <c r="H138" s="5">
        <v>84284</v>
      </c>
      <c r="I138" s="22">
        <f>الجدول3[[#This Row],[O2]]/الجدول3[[#This Row],[N2]]</f>
        <v>6.1506335722082486E-2</v>
      </c>
      <c r="J138" s="5">
        <v>9</v>
      </c>
      <c r="K138" s="5">
        <v>1813</v>
      </c>
      <c r="L138" s="5">
        <v>3</v>
      </c>
      <c r="M138" s="5">
        <v>5</v>
      </c>
      <c r="N138" s="42">
        <v>0</v>
      </c>
      <c r="O138" s="5">
        <v>9</v>
      </c>
      <c r="P138" s="5">
        <v>548</v>
      </c>
      <c r="Q138" s="5" t="s">
        <v>21</v>
      </c>
      <c r="R138" s="5">
        <v>1</v>
      </c>
      <c r="S138" s="5" t="s">
        <v>22</v>
      </c>
      <c r="T138" s="43" t="str">
        <f t="shared" si="35"/>
        <v>غير محدد</v>
      </c>
      <c r="U138" s="5" t="str" cm="1">
        <f t="array" ref="U138">IFERROR(MID(S138,MATCH(TRUE,ISNUMBER(1*MID(S138,ROW($1:$10),1)),0),COUNT(1*MID(S138,ROW($1:$10),1))),"غير محدد")</f>
        <v>غير محدد</v>
      </c>
      <c r="V138" s="32" t="s">
        <v>93</v>
      </c>
      <c r="W138" s="26">
        <f>'اسيوط الوادي'!$K137/'اسيوط الوادي'!$P137</f>
        <v>5.8718750000000002</v>
      </c>
      <c r="X138" s="22">
        <f t="shared" si="36"/>
        <v>0</v>
      </c>
      <c r="Y138" s="22">
        <f t="shared" si="37"/>
        <v>0.6</v>
      </c>
      <c r="Z138" s="26">
        <f t="shared" si="38"/>
        <v>1</v>
      </c>
      <c r="AA138" s="22" t="str">
        <f t="shared" ca="1" si="39"/>
        <v xml:space="preserve">0 </v>
      </c>
    </row>
    <row r="139" spans="1:29" s="32" customFormat="1" ht="25.15" customHeight="1" x14ac:dyDescent="0.2">
      <c r="A139" s="5" t="s">
        <v>69</v>
      </c>
      <c r="B139" s="5" t="s">
        <v>67</v>
      </c>
      <c r="C139" s="6" t="s">
        <v>16</v>
      </c>
      <c r="D139" s="40">
        <v>44871</v>
      </c>
      <c r="E139" s="40"/>
      <c r="F139" s="5" t="str">
        <f t="shared" ca="1" si="34"/>
        <v xml:space="preserve">1  m 10  D </v>
      </c>
      <c r="G139" s="5">
        <v>7301</v>
      </c>
      <c r="H139" s="5">
        <v>51051</v>
      </c>
      <c r="I139" s="22">
        <f>الجدول3[[#This Row],[O2]]/الجدول3[[#This Row],[N2]]</f>
        <v>0.14301384889620183</v>
      </c>
      <c r="J139" s="5">
        <v>16</v>
      </c>
      <c r="K139" s="5">
        <v>2269</v>
      </c>
      <c r="L139" s="5">
        <v>3</v>
      </c>
      <c r="M139" s="5">
        <v>3</v>
      </c>
      <c r="N139" s="42">
        <v>0</v>
      </c>
      <c r="O139" s="5">
        <v>8</v>
      </c>
      <c r="P139" s="5">
        <v>562</v>
      </c>
      <c r="Q139" s="5" t="s">
        <v>21</v>
      </c>
      <c r="R139" s="5">
        <v>1</v>
      </c>
      <c r="S139" s="5" t="s">
        <v>22</v>
      </c>
      <c r="T139" s="43" t="str">
        <f t="shared" si="35"/>
        <v>غير محدد</v>
      </c>
      <c r="U139" s="5" t="str" cm="1">
        <f t="array" ref="U139">IFERROR(MID(S139,MATCH(TRUE,ISNUMBER(1*MID(S139,ROW($1:$10),1)),0),COUNT(1*MID(S139,ROW($1:$10),1))),"غير محدد")</f>
        <v>غير محدد</v>
      </c>
      <c r="V139" s="32" t="s">
        <v>93</v>
      </c>
      <c r="W139" s="26">
        <f>'اسيوط الوادي'!$K138/'اسيوط الوادي'!$P138</f>
        <v>3.3083941605839415</v>
      </c>
      <c r="X139" s="22">
        <f t="shared" si="36"/>
        <v>0</v>
      </c>
      <c r="Y139" s="22">
        <f t="shared" si="37"/>
        <v>1</v>
      </c>
      <c r="Z139" s="26">
        <f t="shared" si="38"/>
        <v>0.5</v>
      </c>
      <c r="AA139" s="22" t="str">
        <f t="shared" ca="1" si="39"/>
        <v xml:space="preserve">0 </v>
      </c>
    </row>
    <row r="140" spans="1:29" ht="25.15" customHeight="1" x14ac:dyDescent="0.2">
      <c r="A140" s="5" t="s">
        <v>69</v>
      </c>
      <c r="B140" s="5" t="s">
        <v>67</v>
      </c>
      <c r="C140" s="6" t="s">
        <v>16</v>
      </c>
      <c r="D140" s="40">
        <v>44871</v>
      </c>
      <c r="F140" s="5" t="str">
        <f t="shared" ca="1" si="34"/>
        <v xml:space="preserve">1  m 10  D </v>
      </c>
      <c r="G140" s="5">
        <v>7301</v>
      </c>
      <c r="H140" s="5">
        <v>51051</v>
      </c>
      <c r="I140" s="22">
        <f>الجدول3[[#This Row],[O2]]/الجدول3[[#This Row],[N2]]</f>
        <v>0.14301384889620183</v>
      </c>
      <c r="J140" s="5">
        <v>16</v>
      </c>
      <c r="K140" s="5">
        <v>2269</v>
      </c>
      <c r="L140" s="5">
        <v>3</v>
      </c>
      <c r="M140" s="5">
        <v>8</v>
      </c>
      <c r="N140" s="42">
        <v>3</v>
      </c>
      <c r="O140" s="5">
        <v>0</v>
      </c>
      <c r="P140" s="5">
        <v>562</v>
      </c>
      <c r="Q140" s="5" t="s">
        <v>21</v>
      </c>
      <c r="R140" s="5">
        <v>1</v>
      </c>
      <c r="S140" s="5" t="s">
        <v>22</v>
      </c>
      <c r="T140" s="43" t="str">
        <f t="shared" si="35"/>
        <v>غير محدد</v>
      </c>
      <c r="U140" s="5" t="str" cm="1">
        <f t="array" ref="U140">IFERROR(MID(S140,MATCH(TRUE,ISNUMBER(1*MID(S140,ROW($1:$10),1)),0),COUNT(1*MID(S140,ROW($1:$10),1))),"غير محدد")</f>
        <v>غير محدد</v>
      </c>
      <c r="V140" s="32" t="s">
        <v>93</v>
      </c>
      <c r="W140" s="26">
        <f>'اسيوط الوادي'!$K139/'اسيوط الوادي'!$P139</f>
        <v>4.037366548042705</v>
      </c>
      <c r="X140" s="22">
        <f t="shared" si="36"/>
        <v>1</v>
      </c>
      <c r="Y140" s="22">
        <f t="shared" si="37"/>
        <v>0.375</v>
      </c>
      <c r="Z140" s="26">
        <f t="shared" si="38"/>
        <v>0</v>
      </c>
      <c r="AA140" s="22" t="str">
        <f t="shared" ca="1" si="39"/>
        <v xml:space="preserve">0 </v>
      </c>
      <c r="AB140" s="5"/>
      <c r="AC140" s="5"/>
    </row>
    <row r="141" spans="1:29" ht="25.15" customHeight="1" x14ac:dyDescent="0.2">
      <c r="A141" s="5" t="s">
        <v>69</v>
      </c>
      <c r="B141" s="5" t="s">
        <v>67</v>
      </c>
      <c r="C141" s="6" t="s">
        <v>16</v>
      </c>
      <c r="D141" s="40">
        <v>45056</v>
      </c>
      <c r="F141" s="5" t="str">
        <f t="shared" ca="1" si="34"/>
        <v xml:space="preserve">7  m 6  D </v>
      </c>
      <c r="G141" s="5">
        <v>12535</v>
      </c>
      <c r="H141" s="5">
        <v>63539</v>
      </c>
      <c r="I141" s="22">
        <f>الجدول3[[#This Row],[O2]]/الجدول3[[#This Row],[N2]]</f>
        <v>0.19728041045656999</v>
      </c>
      <c r="J141" s="5">
        <v>11</v>
      </c>
      <c r="K141" s="5">
        <v>1710</v>
      </c>
      <c r="L141" s="5">
        <v>3</v>
      </c>
      <c r="M141" s="5">
        <v>2</v>
      </c>
      <c r="N141" s="42">
        <v>0</v>
      </c>
      <c r="O141" s="5">
        <v>2</v>
      </c>
      <c r="P141" s="5">
        <v>289</v>
      </c>
      <c r="Q141" s="5" t="s">
        <v>21</v>
      </c>
      <c r="R141" s="5">
        <v>1</v>
      </c>
      <c r="S141" s="5" t="s">
        <v>22</v>
      </c>
      <c r="T141" s="43" t="str">
        <f t="shared" si="35"/>
        <v>غير محدد</v>
      </c>
      <c r="U141" s="5" t="str" cm="1">
        <f t="array" ref="U141">IFERROR(MID(S141,MATCH(TRUE,ISNUMBER(1*MID(S141,ROW($1:$10),1)),0),COUNT(1*MID(S141,ROW($1:$10),1))),"غير محدد")</f>
        <v>غير محدد</v>
      </c>
      <c r="V141" s="32" t="s">
        <v>93</v>
      </c>
      <c r="W141" s="26">
        <f>'اسيوط الوادي'!$K140/'اسيوط الوادي'!$P140</f>
        <v>4.037366548042705</v>
      </c>
      <c r="X141" s="22">
        <f t="shared" si="36"/>
        <v>0</v>
      </c>
      <c r="Y141" s="22">
        <f t="shared" si="37"/>
        <v>1.5</v>
      </c>
      <c r="Z141" s="26">
        <f t="shared" si="38"/>
        <v>0.18181818181818182</v>
      </c>
      <c r="AA141" s="22" t="str">
        <f t="shared" ca="1" si="39"/>
        <v xml:space="preserve">0 </v>
      </c>
      <c r="AB141" s="5"/>
      <c r="AC141" s="5"/>
    </row>
    <row r="142" spans="1:29" ht="25.15" customHeight="1" x14ac:dyDescent="0.2">
      <c r="A142" s="5" t="s">
        <v>69</v>
      </c>
      <c r="B142" s="5" t="s">
        <v>24</v>
      </c>
      <c r="C142" s="6" t="s">
        <v>16</v>
      </c>
      <c r="D142" s="40">
        <v>43235</v>
      </c>
      <c r="F142" s="5" t="str">
        <f t="shared" ca="1" si="34"/>
        <v xml:space="preserve">7  m 1  D </v>
      </c>
      <c r="G142" s="5">
        <v>1707</v>
      </c>
      <c r="H142" s="5">
        <v>35307</v>
      </c>
      <c r="I142" s="22">
        <f>الجدول3[[#This Row],[O2]]/الجدول3[[#This Row],[N2]]</f>
        <v>4.8347353216076132E-2</v>
      </c>
      <c r="J142" s="5">
        <v>21</v>
      </c>
      <c r="K142" s="5">
        <v>1297</v>
      </c>
      <c r="L142" s="5">
        <v>2</v>
      </c>
      <c r="M142" s="5">
        <v>4</v>
      </c>
      <c r="N142" s="42">
        <v>0</v>
      </c>
      <c r="O142" s="5">
        <v>2</v>
      </c>
      <c r="P142" s="5">
        <v>236</v>
      </c>
      <c r="Q142" s="5">
        <v>0</v>
      </c>
      <c r="R142" s="5">
        <v>0</v>
      </c>
      <c r="S142" s="5">
        <v>0</v>
      </c>
      <c r="T142" s="43">
        <f t="shared" si="35"/>
        <v>43235</v>
      </c>
      <c r="U142" s="5" t="str" cm="1">
        <f t="array" ref="U142">IFERROR(MID(S142,MATCH(TRUE,ISNUMBER(1*MID(S142,ROW($1:$10),1)),0),COUNT(1*MID(S142,ROW($1:$10),1))),"غير محدد")</f>
        <v>0</v>
      </c>
      <c r="V142" s="32" t="s">
        <v>93</v>
      </c>
      <c r="W142" s="26">
        <f>'اسيوط الوادي'!$K141/'اسيوط الوادي'!$P141</f>
        <v>5.9169550173010377</v>
      </c>
      <c r="X142" s="22">
        <f t="shared" si="36"/>
        <v>0</v>
      </c>
      <c r="Y142" s="22">
        <f t="shared" si="37"/>
        <v>0.5</v>
      </c>
      <c r="Z142" s="26">
        <f t="shared" si="38"/>
        <v>9.5238095238095233E-2</v>
      </c>
      <c r="AA142" s="22" t="str">
        <f t="shared" ca="1" si="39"/>
        <v xml:space="preserve">1   </v>
      </c>
      <c r="AB142" s="5"/>
      <c r="AC142" s="5"/>
    </row>
    <row r="143" spans="1:29" ht="25.15" customHeight="1" x14ac:dyDescent="0.2">
      <c r="A143" s="5" t="s">
        <v>69</v>
      </c>
      <c r="B143" s="5" t="s">
        <v>55</v>
      </c>
      <c r="C143" s="6" t="s">
        <v>16</v>
      </c>
      <c r="D143" s="40">
        <v>43235</v>
      </c>
      <c r="F143" s="5" t="str">
        <f t="shared" ca="1" si="34"/>
        <v xml:space="preserve">7  m 1  D </v>
      </c>
      <c r="G143" s="5">
        <v>1707</v>
      </c>
      <c r="H143" s="5">
        <v>35307</v>
      </c>
      <c r="I143" s="22">
        <f>الجدول3[[#This Row],[O2]]/الجدول3[[#This Row],[N2]]</f>
        <v>4.8347353216076132E-2</v>
      </c>
      <c r="J143" s="5">
        <v>21</v>
      </c>
      <c r="K143" s="5">
        <v>1297</v>
      </c>
      <c r="L143" s="5">
        <v>2</v>
      </c>
      <c r="M143" s="5">
        <v>2</v>
      </c>
      <c r="N143" s="42">
        <v>4</v>
      </c>
      <c r="O143" s="5">
        <v>0</v>
      </c>
      <c r="P143" s="5">
        <v>236</v>
      </c>
      <c r="Q143" s="5" t="s">
        <v>21</v>
      </c>
      <c r="R143" s="5">
        <v>1</v>
      </c>
      <c r="S143" s="5" t="s">
        <v>70</v>
      </c>
      <c r="T143" s="43" t="str">
        <f t="shared" si="35"/>
        <v>غير محدد</v>
      </c>
      <c r="U143" s="5" t="str" cm="1">
        <f t="array" ref="U143">IFERROR(MID(S143,MATCH(TRUE,ISNUMBER(1*MID(S143,ROW($1:$10),1)),0),COUNT(1*MID(S143,ROW($1:$10),1))),"غير محدد")</f>
        <v>غير محدد</v>
      </c>
      <c r="V143" s="32" t="s">
        <v>93</v>
      </c>
      <c r="W143" s="26">
        <f>'اسيوط الوادي'!$K142/'اسيوط الوادي'!$P142</f>
        <v>5.4957627118644066</v>
      </c>
      <c r="X143" s="22">
        <f t="shared" si="36"/>
        <v>2</v>
      </c>
      <c r="Y143" s="22">
        <f t="shared" si="37"/>
        <v>1</v>
      </c>
      <c r="Z143" s="26">
        <f t="shared" si="38"/>
        <v>0</v>
      </c>
      <c r="AA143" s="22" t="str">
        <f t="shared" ca="1" si="39"/>
        <v xml:space="preserve">0 </v>
      </c>
      <c r="AB143" s="5"/>
      <c r="AC143" s="5"/>
    </row>
    <row r="144" spans="1:29" ht="25.15" customHeight="1" x14ac:dyDescent="0.2">
      <c r="A144" s="5" t="s">
        <v>69</v>
      </c>
      <c r="B144" s="5" t="s">
        <v>24</v>
      </c>
      <c r="C144" s="6" t="s">
        <v>16</v>
      </c>
      <c r="D144" s="40">
        <v>43600</v>
      </c>
      <c r="F144" s="5" t="str">
        <f t="shared" ca="1" si="34"/>
        <v xml:space="preserve">7  m 1  D </v>
      </c>
      <c r="G144" s="5">
        <v>13321</v>
      </c>
      <c r="H144" s="5">
        <v>72121</v>
      </c>
      <c r="I144" s="22">
        <f>الجدول3[[#This Row],[O2]]/الجدول3[[#This Row],[N2]]</f>
        <v>0.18470348442201301</v>
      </c>
      <c r="J144" s="5">
        <v>15</v>
      </c>
      <c r="K144" s="5">
        <v>1691</v>
      </c>
      <c r="L144" s="5">
        <v>1</v>
      </c>
      <c r="M144" s="5">
        <v>2</v>
      </c>
      <c r="N144" s="42">
        <v>0</v>
      </c>
      <c r="O144" s="5">
        <v>8</v>
      </c>
      <c r="P144" s="5">
        <v>384</v>
      </c>
      <c r="Q144" s="5">
        <v>0</v>
      </c>
      <c r="R144" s="5">
        <v>0</v>
      </c>
      <c r="S144" s="5">
        <v>0</v>
      </c>
      <c r="T144" s="43">
        <f t="shared" si="35"/>
        <v>43600</v>
      </c>
      <c r="U144" s="5" t="str" cm="1">
        <f t="array" ref="U144">IFERROR(MID(S144,MATCH(TRUE,ISNUMBER(1*MID(S144,ROW($1:$10),1)),0),COUNT(1*MID(S144,ROW($1:$10),1))),"غير محدد")</f>
        <v>0</v>
      </c>
      <c r="V144" s="32" t="s">
        <v>93</v>
      </c>
      <c r="W144" s="26">
        <f>'اسيوط الوادي'!$K143/'اسيوط الوادي'!$P143</f>
        <v>5.4957627118644066</v>
      </c>
      <c r="X144" s="22">
        <f t="shared" si="36"/>
        <v>0</v>
      </c>
      <c r="Y144" s="22">
        <f t="shared" si="37"/>
        <v>0.5</v>
      </c>
      <c r="Z144" s="26">
        <f t="shared" si="38"/>
        <v>0.53333333333333333</v>
      </c>
      <c r="AA144" s="22" t="str">
        <f t="shared" ca="1" si="39"/>
        <v xml:space="preserve">1   </v>
      </c>
      <c r="AB144" s="5"/>
      <c r="AC144" s="5"/>
    </row>
    <row r="145" spans="1:29" ht="25.15" customHeight="1" x14ac:dyDescent="0.2">
      <c r="A145" s="5" t="s">
        <v>69</v>
      </c>
      <c r="B145" s="5" t="s">
        <v>55</v>
      </c>
      <c r="C145" s="6" t="s">
        <v>16</v>
      </c>
      <c r="D145" s="40">
        <v>43600</v>
      </c>
      <c r="F145" s="5" t="str">
        <f t="shared" ca="1" si="34"/>
        <v xml:space="preserve">7  m 1  D </v>
      </c>
      <c r="G145" s="5">
        <v>13321</v>
      </c>
      <c r="H145" s="5">
        <v>72121</v>
      </c>
      <c r="I145" s="22">
        <f>الجدول3[[#This Row],[O2]]/الجدول3[[#This Row],[N2]]</f>
        <v>0.18470348442201301</v>
      </c>
      <c r="J145" s="5">
        <v>15</v>
      </c>
      <c r="K145" s="5">
        <v>1691</v>
      </c>
      <c r="L145" s="5">
        <v>1</v>
      </c>
      <c r="M145" s="5">
        <v>8</v>
      </c>
      <c r="N145" s="42">
        <v>2</v>
      </c>
      <c r="O145" s="5">
        <v>0</v>
      </c>
      <c r="P145" s="5">
        <v>384</v>
      </c>
      <c r="Q145" s="5" t="s">
        <v>21</v>
      </c>
      <c r="R145" s="5">
        <v>1</v>
      </c>
      <c r="S145" s="5" t="s">
        <v>70</v>
      </c>
      <c r="T145" s="43" t="str">
        <f t="shared" si="35"/>
        <v>غير محدد</v>
      </c>
      <c r="U145" s="5" t="str" cm="1">
        <f t="array" ref="U145">IFERROR(MID(S145,MATCH(TRUE,ISNUMBER(1*MID(S145,ROW($1:$10),1)),0),COUNT(1*MID(S145,ROW($1:$10),1))),"غير محدد")</f>
        <v>غير محدد</v>
      </c>
      <c r="V145" s="32" t="s">
        <v>93</v>
      </c>
      <c r="W145" s="26">
        <f>'اسيوط الوادي'!$K144/'اسيوط الوادي'!$P144</f>
        <v>4.403645833333333</v>
      </c>
      <c r="X145" s="22">
        <f t="shared" si="36"/>
        <v>2</v>
      </c>
      <c r="Y145" s="22">
        <f t="shared" si="37"/>
        <v>0.125</v>
      </c>
      <c r="Z145" s="26">
        <f t="shared" si="38"/>
        <v>0</v>
      </c>
      <c r="AA145" s="22" t="str">
        <f t="shared" ca="1" si="39"/>
        <v xml:space="preserve">0 </v>
      </c>
      <c r="AB145" s="5"/>
      <c r="AC145" s="5"/>
    </row>
    <row r="146" spans="1:29" ht="25.15" customHeight="1" x14ac:dyDescent="0.2">
      <c r="A146" s="5" t="s">
        <v>69</v>
      </c>
      <c r="B146" s="5" t="s">
        <v>24</v>
      </c>
      <c r="C146" s="6" t="s">
        <v>16</v>
      </c>
      <c r="D146" s="40">
        <v>43982</v>
      </c>
      <c r="F146" s="5" t="str">
        <f t="shared" ca="1" si="34"/>
        <v xml:space="preserve">6  m 15  D </v>
      </c>
      <c r="G146" s="5">
        <v>1376</v>
      </c>
      <c r="H146" s="5">
        <v>56614</v>
      </c>
      <c r="I146" s="22">
        <f>الجدول3[[#This Row],[O2]]/الجدول3[[#This Row],[N2]]</f>
        <v>2.4304942240435227E-2</v>
      </c>
      <c r="J146" s="5">
        <v>9</v>
      </c>
      <c r="K146" s="5">
        <v>5633</v>
      </c>
      <c r="L146" s="5">
        <v>14</v>
      </c>
      <c r="M146" s="5">
        <v>15</v>
      </c>
      <c r="N146" s="42">
        <v>0</v>
      </c>
      <c r="O146" s="5">
        <v>1</v>
      </c>
      <c r="P146" s="5">
        <v>762</v>
      </c>
      <c r="Q146" s="5">
        <v>0</v>
      </c>
      <c r="R146" s="5">
        <v>0</v>
      </c>
      <c r="S146" s="5">
        <v>0</v>
      </c>
      <c r="T146" s="43">
        <f t="shared" si="35"/>
        <v>43982</v>
      </c>
      <c r="U146" s="5" t="str" cm="1">
        <f t="array" ref="U146">IFERROR(MID(S146,MATCH(TRUE,ISNUMBER(1*MID(S146,ROW($1:$10),1)),0),COUNT(1*MID(S146,ROW($1:$10),1))),"غير محدد")</f>
        <v>0</v>
      </c>
      <c r="V146" s="32" t="s">
        <v>93</v>
      </c>
      <c r="W146" s="26">
        <f>'اسيوط الوادي'!$K145/'اسيوط الوادي'!$P145</f>
        <v>4.403645833333333</v>
      </c>
      <c r="X146" s="22">
        <f t="shared" si="36"/>
        <v>0</v>
      </c>
      <c r="Y146" s="22">
        <f t="shared" si="37"/>
        <v>0.93333333333333335</v>
      </c>
      <c r="Z146" s="26">
        <f t="shared" si="38"/>
        <v>0.1111111111111111</v>
      </c>
      <c r="AA146" s="22" t="str">
        <f t="shared" ca="1" si="39"/>
        <v xml:space="preserve">15   </v>
      </c>
      <c r="AB146" s="5"/>
      <c r="AC146" s="5"/>
    </row>
    <row r="147" spans="1:29" ht="25.15" customHeight="1" x14ac:dyDescent="0.2">
      <c r="A147" s="5" t="s">
        <v>69</v>
      </c>
      <c r="B147" s="5" t="s">
        <v>55</v>
      </c>
      <c r="C147" s="6" t="s">
        <v>27</v>
      </c>
      <c r="D147" s="40">
        <v>43982</v>
      </c>
      <c r="F147" s="5" t="str">
        <f t="shared" ca="1" si="34"/>
        <v xml:space="preserve">6  m 15  D </v>
      </c>
      <c r="G147" s="5">
        <v>1892</v>
      </c>
      <c r="H147" s="5">
        <v>44011</v>
      </c>
      <c r="I147" s="22">
        <f>الجدول3[[#This Row],[O2]]/الجدول3[[#This Row],[N2]]</f>
        <v>4.2989252686828294E-2</v>
      </c>
      <c r="J147" s="5">
        <v>24</v>
      </c>
      <c r="K147" s="5">
        <v>3824</v>
      </c>
      <c r="L147" s="5">
        <v>4</v>
      </c>
      <c r="M147" s="5">
        <v>10</v>
      </c>
      <c r="N147" s="42">
        <v>0</v>
      </c>
      <c r="O147" s="5">
        <v>11</v>
      </c>
      <c r="P147" s="5">
        <v>530</v>
      </c>
      <c r="Q147" s="5" t="s">
        <v>21</v>
      </c>
      <c r="R147" s="5">
        <v>1</v>
      </c>
      <c r="S147" s="5" t="s">
        <v>70</v>
      </c>
      <c r="T147" s="43" t="str">
        <f t="shared" si="35"/>
        <v>غير محدد</v>
      </c>
      <c r="U147" s="5" t="str" cm="1">
        <f t="array" ref="U147">IFERROR(MID(S147,MATCH(TRUE,ISNUMBER(1*MID(S147,ROW($1:$10),1)),0),COUNT(1*MID(S147,ROW($1:$10),1))),"غير محدد")</f>
        <v>غير محدد</v>
      </c>
      <c r="V147" s="32" t="s">
        <v>93</v>
      </c>
      <c r="W147" s="26">
        <f>'اسيوط الوادي'!$K146/'اسيوط الوادي'!$P146</f>
        <v>7.3923884514435692</v>
      </c>
      <c r="X147" s="22">
        <f t="shared" si="36"/>
        <v>0</v>
      </c>
      <c r="Y147" s="22">
        <f t="shared" si="37"/>
        <v>0.4</v>
      </c>
      <c r="Z147" s="26">
        <f t="shared" si="38"/>
        <v>0.45833333333333331</v>
      </c>
      <c r="AA147" s="22" t="str">
        <f t="shared" ca="1" si="39"/>
        <v xml:space="preserve">0 </v>
      </c>
      <c r="AB147" s="5"/>
      <c r="AC147" s="5"/>
    </row>
    <row r="148" spans="1:29" ht="25.15" customHeight="1" x14ac:dyDescent="0.2">
      <c r="A148" s="5" t="s">
        <v>69</v>
      </c>
      <c r="B148" s="5" t="s">
        <v>24</v>
      </c>
      <c r="C148" s="6" t="s">
        <v>16</v>
      </c>
      <c r="D148" s="40">
        <v>44018</v>
      </c>
      <c r="F148" s="5" t="str">
        <f t="shared" ca="1" si="34"/>
        <v xml:space="preserve">5  m 10  D </v>
      </c>
      <c r="G148" s="5">
        <v>1782</v>
      </c>
      <c r="H148" s="5">
        <v>39605</v>
      </c>
      <c r="I148" s="22">
        <f>الجدول3[[#This Row],[O2]]/الجدول3[[#This Row],[N2]]</f>
        <v>4.4994318899128895E-2</v>
      </c>
      <c r="J148" s="5">
        <v>4</v>
      </c>
      <c r="K148" s="5">
        <v>7565</v>
      </c>
      <c r="L148" s="5">
        <v>4</v>
      </c>
      <c r="M148" s="5">
        <v>8</v>
      </c>
      <c r="N148" s="42">
        <v>0</v>
      </c>
      <c r="O148" s="5">
        <v>1</v>
      </c>
      <c r="P148" s="5">
        <v>904</v>
      </c>
      <c r="Q148" s="5" t="s">
        <v>13</v>
      </c>
      <c r="R148" s="5">
        <v>2</v>
      </c>
      <c r="S148" s="5" t="s">
        <v>22</v>
      </c>
      <c r="T148" s="43" t="str">
        <f t="shared" si="35"/>
        <v>غير محدد</v>
      </c>
      <c r="U148" s="5" t="str" cm="1">
        <f t="array" ref="U148">IFERROR(MID(S148,MATCH(TRUE,ISNUMBER(1*MID(S148,ROW($1:$10),1)),0),COUNT(1*MID(S148,ROW($1:$10),1))),"غير محدد")</f>
        <v>غير محدد</v>
      </c>
      <c r="V148" s="32" t="s">
        <v>93</v>
      </c>
      <c r="W148" s="26">
        <f>'اسيوط الوادي'!$K147/'اسيوط الوادي'!$P147</f>
        <v>7.2150943396226417</v>
      </c>
      <c r="X148" s="22">
        <f t="shared" si="36"/>
        <v>0</v>
      </c>
      <c r="Y148" s="22">
        <f t="shared" si="37"/>
        <v>0.5</v>
      </c>
      <c r="Z148" s="26">
        <f t="shared" si="38"/>
        <v>0.25</v>
      </c>
      <c r="AA148" s="22" t="str">
        <f t="shared" ca="1" si="39"/>
        <v xml:space="preserve">0 </v>
      </c>
      <c r="AB148" s="5"/>
      <c r="AC148" s="5"/>
    </row>
    <row r="149" spans="1:29" ht="25.15" customHeight="1" x14ac:dyDescent="0.2">
      <c r="A149" s="5" t="s">
        <v>69</v>
      </c>
      <c r="B149" s="5" t="s">
        <v>55</v>
      </c>
      <c r="C149" s="6" t="s">
        <v>16</v>
      </c>
      <c r="D149" s="40">
        <v>44018</v>
      </c>
      <c r="F149" s="5" t="str">
        <f t="shared" ca="1" si="34"/>
        <v xml:space="preserve">5  m 10  D </v>
      </c>
      <c r="G149" s="5">
        <v>1782</v>
      </c>
      <c r="H149" s="5">
        <v>39605</v>
      </c>
      <c r="I149" s="22">
        <f>الجدول3[[#This Row],[O2]]/الجدول3[[#This Row],[N2]]</f>
        <v>4.4994318899128895E-2</v>
      </c>
      <c r="J149" s="5">
        <v>4</v>
      </c>
      <c r="K149" s="5">
        <v>7565</v>
      </c>
      <c r="L149" s="5">
        <v>4</v>
      </c>
      <c r="M149" s="5">
        <v>1</v>
      </c>
      <c r="N149" s="42">
        <v>8</v>
      </c>
      <c r="O149" s="5">
        <v>0</v>
      </c>
      <c r="P149" s="5">
        <v>904</v>
      </c>
      <c r="Q149" s="5" t="s">
        <v>13</v>
      </c>
      <c r="R149" s="5">
        <v>2</v>
      </c>
      <c r="S149" s="5" t="s">
        <v>22</v>
      </c>
      <c r="T149" s="43" t="str">
        <f t="shared" si="35"/>
        <v>غير محدد</v>
      </c>
      <c r="U149" s="5" t="str" cm="1">
        <f t="array" ref="U149">IFERROR(MID(S149,MATCH(TRUE,ISNUMBER(1*MID(S149,ROW($1:$10),1)),0),COUNT(1*MID(S149,ROW($1:$10),1))),"غير محدد")</f>
        <v>غير محدد</v>
      </c>
      <c r="V149" s="32" t="s">
        <v>93</v>
      </c>
      <c r="W149" s="26">
        <f>'اسيوط الوادي'!$K148/'اسيوط الوادي'!$P148</f>
        <v>8.3683628318584073</v>
      </c>
      <c r="X149" s="22">
        <f t="shared" si="36"/>
        <v>2</v>
      </c>
      <c r="Y149" s="22">
        <f t="shared" si="37"/>
        <v>4</v>
      </c>
      <c r="Z149" s="26">
        <f t="shared" si="38"/>
        <v>0</v>
      </c>
      <c r="AA149" s="22" t="str">
        <f t="shared" ca="1" si="39"/>
        <v xml:space="preserve">0 </v>
      </c>
      <c r="AB149" s="5"/>
      <c r="AC149" s="5"/>
    </row>
    <row r="150" spans="1:29" ht="25.15" customHeight="1" x14ac:dyDescent="0.2">
      <c r="A150" s="5" t="s">
        <v>69</v>
      </c>
      <c r="B150" s="5" t="s">
        <v>55</v>
      </c>
      <c r="C150" s="6" t="s">
        <v>16</v>
      </c>
      <c r="D150" s="40">
        <v>44259</v>
      </c>
      <c r="F150" s="5" t="str">
        <f t="shared" ca="1" si="34"/>
        <v xml:space="preserve">9  m 12  D </v>
      </c>
      <c r="G150" s="5">
        <v>9629</v>
      </c>
      <c r="H150" s="5">
        <v>47019</v>
      </c>
      <c r="I150" s="22">
        <f>الجدول3[[#This Row],[O2]]/الجدول3[[#This Row],[N2]]</f>
        <v>0.20478955315936112</v>
      </c>
      <c r="J150" s="5">
        <v>4</v>
      </c>
      <c r="K150" s="5">
        <v>339</v>
      </c>
      <c r="L150" s="5">
        <v>4</v>
      </c>
      <c r="M150" s="5">
        <v>4</v>
      </c>
      <c r="N150" s="42">
        <v>4</v>
      </c>
      <c r="O150" s="5">
        <v>0</v>
      </c>
      <c r="P150" s="5">
        <v>97</v>
      </c>
      <c r="Q150" s="5" t="s">
        <v>21</v>
      </c>
      <c r="R150" s="5">
        <v>1</v>
      </c>
      <c r="S150" s="5" t="s">
        <v>22</v>
      </c>
      <c r="T150" s="43" t="str">
        <f t="shared" si="35"/>
        <v>غير محدد</v>
      </c>
      <c r="U150" s="5" t="str" cm="1">
        <f t="array" ref="U150">IFERROR(MID(S150,MATCH(TRUE,ISNUMBER(1*MID(S150,ROW($1:$10),1)),0),COUNT(1*MID(S150,ROW($1:$10),1))),"غير محدد")</f>
        <v>غير محدد</v>
      </c>
      <c r="V150" s="32" t="s">
        <v>93</v>
      </c>
      <c r="W150" s="26">
        <f>'اسيوط الوادي'!$K149/'اسيوط الوادي'!$P149</f>
        <v>8.3683628318584073</v>
      </c>
      <c r="X150" s="22">
        <f t="shared" si="36"/>
        <v>1</v>
      </c>
      <c r="Y150" s="22">
        <f t="shared" si="37"/>
        <v>1</v>
      </c>
      <c r="Z150" s="26">
        <f t="shared" si="38"/>
        <v>0</v>
      </c>
      <c r="AA150" s="22" t="str">
        <f t="shared" ca="1" si="39"/>
        <v xml:space="preserve">0 </v>
      </c>
      <c r="AB150" s="5"/>
      <c r="AC150" s="5"/>
    </row>
    <row r="151" spans="1:29" ht="25.15" customHeight="1" x14ac:dyDescent="0.2">
      <c r="A151" s="5" t="s">
        <v>69</v>
      </c>
      <c r="B151" s="5" t="s">
        <v>24</v>
      </c>
      <c r="C151" s="6" t="s">
        <v>16</v>
      </c>
      <c r="D151" s="40">
        <v>44340</v>
      </c>
      <c r="F151" s="5" t="str">
        <f t="shared" ca="1" si="34"/>
        <v xml:space="preserve">6  m 22  D </v>
      </c>
      <c r="G151" s="5">
        <v>4449</v>
      </c>
      <c r="H151" s="5">
        <v>81044</v>
      </c>
      <c r="I151" s="22">
        <f>الجدول3[[#This Row],[O2]]/الجدول3[[#This Row],[N2]]</f>
        <v>5.489610581906125E-2</v>
      </c>
      <c r="J151" s="5">
        <v>5</v>
      </c>
      <c r="K151" s="5">
        <v>8481</v>
      </c>
      <c r="L151" s="5">
        <v>4</v>
      </c>
      <c r="M151" s="5">
        <v>5</v>
      </c>
      <c r="N151" s="42">
        <v>0</v>
      </c>
      <c r="O151" s="5">
        <v>12</v>
      </c>
      <c r="P151" s="5">
        <v>920</v>
      </c>
      <c r="Q151" s="5" t="s">
        <v>25</v>
      </c>
      <c r="R151" s="5">
        <v>2</v>
      </c>
      <c r="S151" s="5" t="s">
        <v>12</v>
      </c>
      <c r="T151" s="43" t="str">
        <f t="shared" si="35"/>
        <v>غير محدد</v>
      </c>
      <c r="U151" s="5" t="str" cm="1">
        <f t="array" ref="U151">IFERROR(MID(S151,MATCH(TRUE,ISNUMBER(1*MID(S151,ROW($1:$10),1)),0),COUNT(1*MID(S151,ROW($1:$10),1))),"غير محدد")</f>
        <v>غير محدد</v>
      </c>
      <c r="V151" s="32" t="s">
        <v>93</v>
      </c>
      <c r="W151" s="26">
        <f>'اسيوط الوادي'!$K150/'اسيوط الوادي'!$P150</f>
        <v>3.4948453608247423</v>
      </c>
      <c r="X151" s="22">
        <f t="shared" si="36"/>
        <v>0</v>
      </c>
      <c r="Y151" s="22">
        <f t="shared" si="37"/>
        <v>0.8</v>
      </c>
      <c r="Z151" s="26">
        <f t="shared" si="38"/>
        <v>2.4</v>
      </c>
      <c r="AA151" s="22" t="str">
        <f t="shared" ca="1" si="39"/>
        <v xml:space="preserve">0 </v>
      </c>
      <c r="AB151" s="5"/>
      <c r="AC151" s="5"/>
    </row>
    <row r="152" spans="1:29" ht="25.15" customHeight="1" x14ac:dyDescent="0.2">
      <c r="A152" s="5" t="s">
        <v>69</v>
      </c>
      <c r="B152" s="5" t="s">
        <v>55</v>
      </c>
      <c r="C152" s="6" t="s">
        <v>27</v>
      </c>
      <c r="D152" s="40">
        <v>44340</v>
      </c>
      <c r="F152" s="5" t="str">
        <f t="shared" ca="1" si="34"/>
        <v xml:space="preserve">6  m 22  D </v>
      </c>
      <c r="G152" s="5">
        <v>10183</v>
      </c>
      <c r="H152" s="5">
        <v>104072</v>
      </c>
      <c r="I152" s="22">
        <f>الجدول3[[#This Row],[O2]]/الجدول3[[#This Row],[N2]]</f>
        <v>9.7845722192328385E-2</v>
      </c>
      <c r="J152" s="5">
        <v>32</v>
      </c>
      <c r="K152" s="5">
        <v>4816</v>
      </c>
      <c r="L152" s="5">
        <v>5</v>
      </c>
      <c r="M152" s="5">
        <v>5</v>
      </c>
      <c r="N152" s="42">
        <v>0</v>
      </c>
      <c r="O152" s="5">
        <v>1</v>
      </c>
      <c r="P152" s="5">
        <v>467</v>
      </c>
      <c r="Q152" s="5" t="s">
        <v>21</v>
      </c>
      <c r="R152" s="5">
        <v>1</v>
      </c>
      <c r="S152" s="5" t="s">
        <v>22</v>
      </c>
      <c r="T152" s="43" t="str">
        <f t="shared" si="35"/>
        <v>غير محدد</v>
      </c>
      <c r="U152" s="5" t="str" cm="1">
        <f t="array" ref="U152">IFERROR(MID(S152,MATCH(TRUE,ISNUMBER(1*MID(S152,ROW($1:$10),1)),0),COUNT(1*MID(S152,ROW($1:$10),1))),"غير محدد")</f>
        <v>غير محدد</v>
      </c>
      <c r="V152" s="32" t="s">
        <v>93</v>
      </c>
      <c r="W152" s="26">
        <f>'اسيوط الوادي'!$K151/'اسيوط الوادي'!$P151</f>
        <v>9.2184782608695652</v>
      </c>
      <c r="X152" s="22">
        <f t="shared" si="36"/>
        <v>0</v>
      </c>
      <c r="Y152" s="22">
        <f t="shared" si="37"/>
        <v>1</v>
      </c>
      <c r="Z152" s="26">
        <f t="shared" si="38"/>
        <v>3.125E-2</v>
      </c>
      <c r="AA152" s="22" t="str">
        <f t="shared" ca="1" si="39"/>
        <v xml:space="preserve">0 </v>
      </c>
      <c r="AB152" s="5"/>
      <c r="AC152" s="5"/>
    </row>
    <row r="153" spans="1:29" ht="25.15" customHeight="1" x14ac:dyDescent="0.2">
      <c r="A153" s="5" t="s">
        <v>69</v>
      </c>
      <c r="B153" s="5" t="s">
        <v>55</v>
      </c>
      <c r="C153" s="6" t="s">
        <v>16</v>
      </c>
      <c r="D153" s="40">
        <v>44340</v>
      </c>
      <c r="F153" s="5" t="str">
        <f t="shared" ca="1" si="34"/>
        <v xml:space="preserve">6  m 22  D </v>
      </c>
      <c r="G153" s="5">
        <v>4449</v>
      </c>
      <c r="H153" s="5">
        <v>81044</v>
      </c>
      <c r="I153" s="22">
        <f>الجدول3[[#This Row],[O2]]/الجدول3[[#This Row],[N2]]</f>
        <v>5.489610581906125E-2</v>
      </c>
      <c r="J153" s="5">
        <v>5</v>
      </c>
      <c r="K153" s="5">
        <v>8481</v>
      </c>
      <c r="L153" s="5">
        <v>4</v>
      </c>
      <c r="M153" s="5">
        <v>12</v>
      </c>
      <c r="N153" s="42">
        <v>5</v>
      </c>
      <c r="O153" s="5">
        <v>0</v>
      </c>
      <c r="P153" s="5">
        <v>920</v>
      </c>
      <c r="Q153" s="5" t="s">
        <v>25</v>
      </c>
      <c r="R153" s="5">
        <v>2</v>
      </c>
      <c r="S153" s="5" t="s">
        <v>12</v>
      </c>
      <c r="T153" s="43" t="str">
        <f t="shared" si="35"/>
        <v>غير محدد</v>
      </c>
      <c r="U153" s="5" t="str" cm="1">
        <f t="array" ref="U153">IFERROR(MID(S153,MATCH(TRUE,ISNUMBER(1*MID(S153,ROW($1:$10),1)),0),COUNT(1*MID(S153,ROW($1:$10),1))),"غير محدد")</f>
        <v>غير محدد</v>
      </c>
      <c r="V153" s="32" t="s">
        <v>93</v>
      </c>
      <c r="W153" s="26">
        <f>'اسيوط الوادي'!$K152/'اسيوط الوادي'!$P152</f>
        <v>10.312633832976445</v>
      </c>
      <c r="X153" s="22">
        <f t="shared" si="36"/>
        <v>1.25</v>
      </c>
      <c r="Y153" s="22">
        <f t="shared" si="37"/>
        <v>0.33333333333333331</v>
      </c>
      <c r="Z153" s="26">
        <f t="shared" si="38"/>
        <v>0</v>
      </c>
      <c r="AA153" s="22" t="str">
        <f t="shared" ca="1" si="39"/>
        <v xml:space="preserve">0 </v>
      </c>
      <c r="AB153" s="5"/>
      <c r="AC153" s="5"/>
    </row>
    <row r="154" spans="1:29" ht="25.15" customHeight="1" x14ac:dyDescent="0.2">
      <c r="A154" s="5" t="s">
        <v>69</v>
      </c>
      <c r="B154" s="5" t="s">
        <v>24</v>
      </c>
      <c r="C154" s="6" t="s">
        <v>16</v>
      </c>
      <c r="D154" s="40">
        <v>44503</v>
      </c>
      <c r="F154" s="5" t="str">
        <f t="shared" ca="1" si="34"/>
        <v xml:space="preserve">1  m 13  D </v>
      </c>
      <c r="G154" s="5">
        <v>30003</v>
      </c>
      <c r="H154" s="5">
        <v>103163</v>
      </c>
      <c r="I154" s="22">
        <f>الجدول3[[#This Row],[O2]]/الجدول3[[#This Row],[N2]]</f>
        <v>0.29083101499568642</v>
      </c>
      <c r="J154" s="5">
        <v>8</v>
      </c>
      <c r="K154" s="5">
        <v>8346</v>
      </c>
      <c r="L154" s="5">
        <v>4</v>
      </c>
      <c r="M154" s="5">
        <v>3</v>
      </c>
      <c r="N154" s="42">
        <v>0</v>
      </c>
      <c r="O154" s="5">
        <v>10</v>
      </c>
      <c r="P154" s="5">
        <v>1410</v>
      </c>
      <c r="Q154" s="5" t="s">
        <v>25</v>
      </c>
      <c r="R154" s="5">
        <v>2</v>
      </c>
      <c r="S154" s="5" t="s">
        <v>12</v>
      </c>
      <c r="T154" s="43" t="str">
        <f t="shared" si="35"/>
        <v>غير محدد</v>
      </c>
      <c r="U154" s="5" t="str" cm="1">
        <f t="array" ref="U154">IFERROR(MID(S154,MATCH(TRUE,ISNUMBER(1*MID(S154,ROW($1:$10),1)),0),COUNT(1*MID(S154,ROW($1:$10),1))),"غير محدد")</f>
        <v>غير محدد</v>
      </c>
      <c r="V154" s="32" t="s">
        <v>93</v>
      </c>
      <c r="W154" s="26">
        <f>'اسيوط الوادي'!$K153/'اسيوط الوادي'!$P153</f>
        <v>9.2184782608695652</v>
      </c>
      <c r="X154" s="22">
        <f t="shared" si="36"/>
        <v>0</v>
      </c>
      <c r="Y154" s="22">
        <f t="shared" si="37"/>
        <v>1.3333333333333333</v>
      </c>
      <c r="Z154" s="26">
        <f t="shared" si="38"/>
        <v>1.25</v>
      </c>
      <c r="AA154" s="22" t="str">
        <f t="shared" ca="1" si="39"/>
        <v xml:space="preserve">0 </v>
      </c>
      <c r="AB154" s="5"/>
      <c r="AC154" s="5"/>
    </row>
    <row r="155" spans="1:29" ht="25.15" customHeight="1" x14ac:dyDescent="0.2">
      <c r="A155" s="5" t="s">
        <v>69</v>
      </c>
      <c r="B155" s="5" t="s">
        <v>55</v>
      </c>
      <c r="C155" s="6" t="s">
        <v>16</v>
      </c>
      <c r="D155" s="40">
        <v>44503</v>
      </c>
      <c r="F155" s="5" t="str">
        <f t="shared" ca="1" si="34"/>
        <v xml:space="preserve">1  m 13  D </v>
      </c>
      <c r="G155" s="5">
        <v>30003</v>
      </c>
      <c r="H155" s="5">
        <v>103163</v>
      </c>
      <c r="I155" s="22">
        <f>الجدول3[[#This Row],[O2]]/الجدول3[[#This Row],[N2]]</f>
        <v>0.29083101499568642</v>
      </c>
      <c r="J155" s="5">
        <v>8</v>
      </c>
      <c r="K155" s="5">
        <v>8346</v>
      </c>
      <c r="L155" s="5">
        <v>4</v>
      </c>
      <c r="M155" s="5">
        <v>10</v>
      </c>
      <c r="N155" s="42">
        <v>3</v>
      </c>
      <c r="O155" s="5">
        <v>0</v>
      </c>
      <c r="P155" s="5">
        <v>1410</v>
      </c>
      <c r="Q155" s="5" t="s">
        <v>25</v>
      </c>
      <c r="R155" s="5">
        <v>2</v>
      </c>
      <c r="S155" s="5" t="s">
        <v>12</v>
      </c>
      <c r="T155" s="43" t="str">
        <f t="shared" si="35"/>
        <v>غير محدد</v>
      </c>
      <c r="U155" s="5" t="str" cm="1">
        <f t="array" ref="U155">IFERROR(MID(S155,MATCH(TRUE,ISNUMBER(1*MID(S155,ROW($1:$10),1)),0),COUNT(1*MID(S155,ROW($1:$10),1))),"غير محدد")</f>
        <v>غير محدد</v>
      </c>
      <c r="V155" s="32" t="s">
        <v>93</v>
      </c>
      <c r="W155" s="26">
        <f>'اسيوط الوادي'!$K154/'اسيوط الوادي'!$P154</f>
        <v>5.9191489361702132</v>
      </c>
      <c r="X155" s="22">
        <f t="shared" si="36"/>
        <v>0.75</v>
      </c>
      <c r="Y155" s="22">
        <f t="shared" si="37"/>
        <v>0.4</v>
      </c>
      <c r="Z155" s="26">
        <f t="shared" si="38"/>
        <v>0</v>
      </c>
      <c r="AA155" s="22" t="str">
        <f t="shared" ca="1" si="39"/>
        <v xml:space="preserve">0 </v>
      </c>
      <c r="AB155" s="5"/>
      <c r="AC155" s="5"/>
    </row>
    <row r="156" spans="1:29" ht="25.15" customHeight="1" x14ac:dyDescent="0.2">
      <c r="A156" s="5" t="s">
        <v>69</v>
      </c>
      <c r="B156" s="5" t="s">
        <v>24</v>
      </c>
      <c r="C156" s="6" t="s">
        <v>16</v>
      </c>
      <c r="D156" s="40">
        <v>44529</v>
      </c>
      <c r="F156" s="5" t="str">
        <f t="shared" ca="1" si="34"/>
        <v xml:space="preserve">0  m 17  D </v>
      </c>
      <c r="G156" s="5">
        <v>6569</v>
      </c>
      <c r="H156" s="5">
        <v>37862</v>
      </c>
      <c r="I156" s="22">
        <f>الجدول3[[#This Row],[O2]]/الجدول3[[#This Row],[N2]]</f>
        <v>0.17349849453277694</v>
      </c>
      <c r="J156" s="5">
        <v>2</v>
      </c>
      <c r="K156" s="5">
        <v>1993</v>
      </c>
      <c r="L156" s="5">
        <v>1</v>
      </c>
      <c r="M156" s="5">
        <v>1</v>
      </c>
      <c r="N156" s="42">
        <v>0</v>
      </c>
      <c r="O156" s="5">
        <v>1</v>
      </c>
      <c r="P156" s="5">
        <v>163</v>
      </c>
      <c r="Q156" s="5" t="s">
        <v>21</v>
      </c>
      <c r="R156" s="5">
        <v>1</v>
      </c>
      <c r="S156" s="5" t="s">
        <v>22</v>
      </c>
      <c r="T156" s="43" t="str">
        <f t="shared" si="35"/>
        <v>غير محدد</v>
      </c>
      <c r="U156" s="5" t="str" cm="1">
        <f t="array" ref="U156">IFERROR(MID(S156,MATCH(TRUE,ISNUMBER(1*MID(S156,ROW($1:$10),1)),0),COUNT(1*MID(S156,ROW($1:$10),1))),"غير محدد")</f>
        <v>غير محدد</v>
      </c>
      <c r="V156" s="32" t="s">
        <v>93</v>
      </c>
      <c r="W156" s="26">
        <f>'اسيوط الوادي'!$K155/'اسيوط الوادي'!$P155</f>
        <v>5.9191489361702132</v>
      </c>
      <c r="X156" s="22">
        <f t="shared" si="36"/>
        <v>0</v>
      </c>
      <c r="Y156" s="22">
        <f t="shared" si="37"/>
        <v>1</v>
      </c>
      <c r="Z156" s="26">
        <f t="shared" si="38"/>
        <v>0.5</v>
      </c>
      <c r="AA156" s="22" t="str">
        <f t="shared" ca="1" si="39"/>
        <v xml:space="preserve">0 </v>
      </c>
      <c r="AB156" s="5"/>
      <c r="AC156" s="5"/>
    </row>
    <row r="157" spans="1:29" ht="25.15" customHeight="1" x14ac:dyDescent="0.2">
      <c r="A157" s="5" t="s">
        <v>69</v>
      </c>
      <c r="B157" s="5" t="s">
        <v>55</v>
      </c>
      <c r="C157" s="6" t="s">
        <v>16</v>
      </c>
      <c r="D157" s="40">
        <v>44529</v>
      </c>
      <c r="F157" s="5" t="str">
        <f t="shared" ca="1" si="34"/>
        <v xml:space="preserve">0  m 17  D </v>
      </c>
      <c r="G157" s="5">
        <v>6569</v>
      </c>
      <c r="H157" s="5">
        <v>37862</v>
      </c>
      <c r="I157" s="22">
        <f>الجدول3[[#This Row],[O2]]/الجدول3[[#This Row],[N2]]</f>
        <v>0.17349849453277694</v>
      </c>
      <c r="J157" s="5">
        <v>2</v>
      </c>
      <c r="K157" s="5">
        <v>1993</v>
      </c>
      <c r="L157" s="5">
        <v>1</v>
      </c>
      <c r="M157" s="5">
        <v>1</v>
      </c>
      <c r="N157" s="42">
        <v>1</v>
      </c>
      <c r="O157" s="5">
        <v>0</v>
      </c>
      <c r="P157" s="5">
        <v>163</v>
      </c>
      <c r="Q157" s="5" t="s">
        <v>21</v>
      </c>
      <c r="R157" s="5">
        <v>1</v>
      </c>
      <c r="S157" s="5" t="s">
        <v>22</v>
      </c>
      <c r="T157" s="43" t="str">
        <f t="shared" si="35"/>
        <v>غير محدد</v>
      </c>
      <c r="U157" s="5" t="str" cm="1">
        <f t="array" ref="U157">IFERROR(MID(S157,MATCH(TRUE,ISNUMBER(1*MID(S157,ROW($1:$10),1)),0),COUNT(1*MID(S157,ROW($1:$10),1))),"غير محدد")</f>
        <v>غير محدد</v>
      </c>
      <c r="V157" s="32" t="s">
        <v>93</v>
      </c>
      <c r="W157" s="26">
        <f>'اسيوط الوادي'!$K156/'اسيوط الوادي'!$P156</f>
        <v>12.226993865030675</v>
      </c>
      <c r="X157" s="22">
        <f t="shared" si="36"/>
        <v>1</v>
      </c>
      <c r="Y157" s="22">
        <f t="shared" si="37"/>
        <v>1</v>
      </c>
      <c r="Z157" s="26">
        <f t="shared" si="38"/>
        <v>0</v>
      </c>
      <c r="AA157" s="22" t="str">
        <f t="shared" ca="1" si="39"/>
        <v xml:space="preserve">0 </v>
      </c>
      <c r="AB157" s="5"/>
      <c r="AC157" s="5"/>
    </row>
    <row r="158" spans="1:29" ht="25.15" customHeight="1" x14ac:dyDescent="0.2">
      <c r="A158" s="5" t="s">
        <v>69</v>
      </c>
      <c r="B158" s="5" t="s">
        <v>24</v>
      </c>
      <c r="C158" s="6" t="s">
        <v>16</v>
      </c>
      <c r="D158" s="40">
        <v>44707</v>
      </c>
      <c r="F158" s="5" t="str">
        <f t="shared" ca="1" si="34"/>
        <v xml:space="preserve">6  m 20  D </v>
      </c>
      <c r="G158" s="5">
        <v>25124</v>
      </c>
      <c r="H158" s="5">
        <v>85011</v>
      </c>
      <c r="I158" s="22">
        <f>الجدول3[[#This Row],[O2]]/الجدول3[[#This Row],[N2]]</f>
        <v>0.29553822446506922</v>
      </c>
      <c r="J158" s="5">
        <v>17</v>
      </c>
      <c r="K158" s="5">
        <v>3338</v>
      </c>
      <c r="L158" s="5">
        <v>2</v>
      </c>
      <c r="M158" s="5">
        <v>3</v>
      </c>
      <c r="N158" s="42">
        <v>0</v>
      </c>
      <c r="O158" s="5">
        <v>7</v>
      </c>
      <c r="P158" s="5">
        <v>372</v>
      </c>
      <c r="Q158" s="5" t="s">
        <v>21</v>
      </c>
      <c r="R158" s="5">
        <v>1</v>
      </c>
      <c r="S158" s="5" t="s">
        <v>22</v>
      </c>
      <c r="T158" s="43" t="str">
        <f t="shared" si="35"/>
        <v>غير محدد</v>
      </c>
      <c r="U158" s="5" t="str" cm="1">
        <f t="array" ref="U158">IFERROR(MID(S158,MATCH(TRUE,ISNUMBER(1*MID(S158,ROW($1:$10),1)),0),COUNT(1*MID(S158,ROW($1:$10),1))),"غير محدد")</f>
        <v>غير محدد</v>
      </c>
      <c r="V158" s="32" t="s">
        <v>93</v>
      </c>
      <c r="W158" s="26">
        <f>'اسيوط الوادي'!$K157/'اسيوط الوادي'!$P157</f>
        <v>12.226993865030675</v>
      </c>
      <c r="X158" s="22">
        <f t="shared" si="36"/>
        <v>0</v>
      </c>
      <c r="Y158" s="22">
        <f t="shared" si="37"/>
        <v>0.66666666666666663</v>
      </c>
      <c r="Z158" s="26">
        <f t="shared" si="38"/>
        <v>0.41176470588235292</v>
      </c>
      <c r="AA158" s="22" t="str">
        <f t="shared" ca="1" si="39"/>
        <v xml:space="preserve">0 </v>
      </c>
      <c r="AB158" s="5"/>
      <c r="AC158" s="5"/>
    </row>
    <row r="159" spans="1:29" ht="25.15" customHeight="1" x14ac:dyDescent="0.2">
      <c r="A159" s="5" t="s">
        <v>69</v>
      </c>
      <c r="B159" s="5" t="s">
        <v>55</v>
      </c>
      <c r="C159" s="6" t="s">
        <v>16</v>
      </c>
      <c r="D159" s="40">
        <v>44707</v>
      </c>
      <c r="F159" s="5" t="str">
        <f t="shared" ca="1" si="34"/>
        <v xml:space="preserve">6  m 20  D </v>
      </c>
      <c r="G159" s="5">
        <v>25124</v>
      </c>
      <c r="H159" s="5">
        <v>85011</v>
      </c>
      <c r="I159" s="22">
        <f>الجدول3[[#This Row],[O2]]/الجدول3[[#This Row],[N2]]</f>
        <v>0.29553822446506922</v>
      </c>
      <c r="J159" s="5">
        <v>17</v>
      </c>
      <c r="K159" s="5">
        <v>3338</v>
      </c>
      <c r="L159" s="5">
        <v>2</v>
      </c>
      <c r="M159" s="5">
        <v>7</v>
      </c>
      <c r="N159" s="42">
        <v>3</v>
      </c>
      <c r="O159" s="5">
        <v>0</v>
      </c>
      <c r="P159" s="5">
        <v>372</v>
      </c>
      <c r="Q159" s="5" t="s">
        <v>21</v>
      </c>
      <c r="R159" s="5">
        <v>1</v>
      </c>
      <c r="S159" s="5" t="s">
        <v>22</v>
      </c>
      <c r="T159" s="43" t="str">
        <f t="shared" si="35"/>
        <v>غير محدد</v>
      </c>
      <c r="U159" s="5" t="str" cm="1">
        <f t="array" ref="U159">IFERROR(MID(S159,MATCH(TRUE,ISNUMBER(1*MID(S159,ROW($1:$10),1)),0),COUNT(1*MID(S159,ROW($1:$10),1))),"غير محدد")</f>
        <v>غير محدد</v>
      </c>
      <c r="V159" s="32" t="s">
        <v>93</v>
      </c>
      <c r="W159" s="26">
        <f>'اسيوط الوادي'!$K158/'اسيوط الوادي'!$P158</f>
        <v>8.9731182795698921</v>
      </c>
      <c r="X159" s="22">
        <f t="shared" si="36"/>
        <v>1.5</v>
      </c>
      <c r="Y159" s="22">
        <f t="shared" si="37"/>
        <v>0.2857142857142857</v>
      </c>
      <c r="Z159" s="26">
        <f t="shared" si="38"/>
        <v>0</v>
      </c>
      <c r="AA159" s="22" t="str">
        <f t="shared" ca="1" si="39"/>
        <v xml:space="preserve">0 </v>
      </c>
      <c r="AB159" s="5"/>
      <c r="AC159" s="5"/>
    </row>
    <row r="160" spans="1:29" ht="25.15" customHeight="1" x14ac:dyDescent="0.2">
      <c r="A160" s="5" t="s">
        <v>69</v>
      </c>
      <c r="B160" s="5" t="s">
        <v>24</v>
      </c>
      <c r="C160" s="6" t="s">
        <v>16</v>
      </c>
      <c r="D160" s="40">
        <v>44871</v>
      </c>
      <c r="F160" s="5" t="str">
        <f t="shared" ca="1" si="34"/>
        <v xml:space="preserve">1  m 10  D </v>
      </c>
      <c r="G160" s="5">
        <v>18355</v>
      </c>
      <c r="H160" s="5">
        <v>64104</v>
      </c>
      <c r="I160" s="22">
        <f>الجدول3[[#This Row],[O2]]/الجدول3[[#This Row],[N2]]</f>
        <v>0.28633158617246973</v>
      </c>
      <c r="J160" s="5">
        <v>22</v>
      </c>
      <c r="K160" s="5">
        <v>726</v>
      </c>
      <c r="L160" s="5">
        <v>1</v>
      </c>
      <c r="M160" s="5">
        <v>3</v>
      </c>
      <c r="N160" s="42">
        <v>0</v>
      </c>
      <c r="O160" s="5">
        <v>8</v>
      </c>
      <c r="P160" s="5">
        <v>435</v>
      </c>
      <c r="Q160" s="5" t="s">
        <v>21</v>
      </c>
      <c r="R160" s="5">
        <v>1</v>
      </c>
      <c r="S160" s="5" t="s">
        <v>22</v>
      </c>
      <c r="T160" s="43" t="str">
        <f t="shared" si="35"/>
        <v>غير محدد</v>
      </c>
      <c r="U160" s="5" t="str" cm="1">
        <f t="array" ref="U160">IFERROR(MID(S160,MATCH(TRUE,ISNUMBER(1*MID(S160,ROW($1:$10),1)),0),COUNT(1*MID(S160,ROW($1:$10),1))),"غير محدد")</f>
        <v>غير محدد</v>
      </c>
      <c r="V160" s="32" t="s">
        <v>93</v>
      </c>
      <c r="W160" s="26">
        <f>'اسيوط الوادي'!$K159/'اسيوط الوادي'!$P159</f>
        <v>8.9731182795698921</v>
      </c>
      <c r="X160" s="22">
        <f t="shared" si="36"/>
        <v>0</v>
      </c>
      <c r="Y160" s="22">
        <f t="shared" si="37"/>
        <v>0.33333333333333331</v>
      </c>
      <c r="Z160" s="26">
        <f t="shared" si="38"/>
        <v>0.36363636363636365</v>
      </c>
      <c r="AA160" s="22" t="str">
        <f t="shared" ca="1" si="39"/>
        <v xml:space="preserve">0 </v>
      </c>
      <c r="AB160" s="5"/>
      <c r="AC160" s="5"/>
    </row>
    <row r="161" spans="1:29" ht="25.15" customHeight="1" x14ac:dyDescent="0.2">
      <c r="A161" s="5" t="s">
        <v>69</v>
      </c>
      <c r="B161" s="5" t="s">
        <v>55</v>
      </c>
      <c r="C161" s="6" t="s">
        <v>16</v>
      </c>
      <c r="D161" s="40">
        <v>44871</v>
      </c>
      <c r="F161" s="5" t="str">
        <f t="shared" ca="1" si="34"/>
        <v xml:space="preserve">1  m 10  D </v>
      </c>
      <c r="G161" s="5">
        <v>18355</v>
      </c>
      <c r="H161" s="5">
        <v>64104</v>
      </c>
      <c r="I161" s="22">
        <f>الجدول3[[#This Row],[O2]]/الجدول3[[#This Row],[N2]]</f>
        <v>0.28633158617246973</v>
      </c>
      <c r="J161" s="5">
        <v>22</v>
      </c>
      <c r="K161" s="5">
        <v>726</v>
      </c>
      <c r="L161" s="5">
        <v>1</v>
      </c>
      <c r="M161" s="5">
        <v>8</v>
      </c>
      <c r="N161" s="42">
        <v>3</v>
      </c>
      <c r="O161" s="5">
        <v>0</v>
      </c>
      <c r="P161" s="5">
        <v>435</v>
      </c>
      <c r="Q161" s="5" t="s">
        <v>21</v>
      </c>
      <c r="R161" s="5">
        <v>1</v>
      </c>
      <c r="S161" s="5" t="s">
        <v>22</v>
      </c>
      <c r="T161" s="43" t="str">
        <f t="shared" si="35"/>
        <v>غير محدد</v>
      </c>
      <c r="U161" s="5" t="str" cm="1">
        <f t="array" ref="U161">IFERROR(MID(S161,MATCH(TRUE,ISNUMBER(1*MID(S161,ROW($1:$10),1)),0),COUNT(1*MID(S161,ROW($1:$10),1))),"غير محدد")</f>
        <v>غير محدد</v>
      </c>
      <c r="V161" s="32" t="s">
        <v>93</v>
      </c>
      <c r="W161" s="26">
        <f>'اسيوط الوادي'!$K160/'اسيوط الوادي'!$P160</f>
        <v>1.6689655172413793</v>
      </c>
      <c r="X161" s="22">
        <f t="shared" si="36"/>
        <v>3</v>
      </c>
      <c r="Y161" s="22">
        <f t="shared" si="37"/>
        <v>0.125</v>
      </c>
      <c r="Z161" s="26">
        <f t="shared" si="38"/>
        <v>0</v>
      </c>
      <c r="AA161" s="22" t="str">
        <f t="shared" ca="1" si="39"/>
        <v xml:space="preserve">0 </v>
      </c>
      <c r="AB161" s="5"/>
      <c r="AC161" s="5"/>
    </row>
    <row r="162" spans="1:29" ht="25.15" customHeight="1" x14ac:dyDescent="0.2">
      <c r="A162" s="5" t="s">
        <v>69</v>
      </c>
      <c r="B162" s="5" t="s">
        <v>24</v>
      </c>
      <c r="C162" s="6" t="s">
        <v>16</v>
      </c>
      <c r="D162" s="40">
        <v>45056</v>
      </c>
      <c r="F162" s="5" t="str">
        <f t="shared" ca="1" si="34"/>
        <v xml:space="preserve">7  m 6  D </v>
      </c>
      <c r="G162" s="5">
        <v>12874</v>
      </c>
      <c r="H162" s="5">
        <v>84478</v>
      </c>
      <c r="I162" s="22">
        <f>الجدول3[[#This Row],[O2]]/الجدول3[[#This Row],[N2]]</f>
        <v>0.15239470631406993</v>
      </c>
      <c r="J162" s="5">
        <v>14</v>
      </c>
      <c r="K162" s="5">
        <v>2939</v>
      </c>
      <c r="L162" s="5">
        <v>2</v>
      </c>
      <c r="M162" s="5">
        <v>3</v>
      </c>
      <c r="N162" s="42">
        <v>0</v>
      </c>
      <c r="O162" s="5">
        <v>4</v>
      </c>
      <c r="P162" s="5">
        <v>369</v>
      </c>
      <c r="Q162" s="5" t="s">
        <v>21</v>
      </c>
      <c r="R162" s="5">
        <v>1</v>
      </c>
      <c r="S162" s="5" t="s">
        <v>22</v>
      </c>
      <c r="T162" s="43" t="str">
        <f t="shared" si="35"/>
        <v>غير محدد</v>
      </c>
      <c r="U162" s="5" t="str" cm="1">
        <f t="array" ref="U162">IFERROR(MID(S162,MATCH(TRUE,ISNUMBER(1*MID(S162,ROW($1:$10),1)),0),COUNT(1*MID(S162,ROW($1:$10),1))),"غير محدد")</f>
        <v>غير محدد</v>
      </c>
      <c r="V162" s="32" t="s">
        <v>93</v>
      </c>
      <c r="W162" s="26">
        <f>'اسيوط الوادي'!$K161/'اسيوط الوادي'!$P161</f>
        <v>1.6689655172413793</v>
      </c>
      <c r="X162" s="22">
        <f t="shared" si="36"/>
        <v>0</v>
      </c>
      <c r="Y162" s="22">
        <f t="shared" si="37"/>
        <v>0.66666666666666663</v>
      </c>
      <c r="Z162" s="26">
        <f t="shared" si="38"/>
        <v>0.2857142857142857</v>
      </c>
      <c r="AA162" s="22" t="str">
        <f t="shared" ca="1" si="39"/>
        <v xml:space="preserve">0 </v>
      </c>
      <c r="AB162" s="5"/>
      <c r="AC162" s="5"/>
    </row>
    <row r="163" spans="1:29" ht="25.15" customHeight="1" x14ac:dyDescent="0.2">
      <c r="A163" s="5" t="s">
        <v>192</v>
      </c>
      <c r="B163" s="5" t="s">
        <v>15</v>
      </c>
      <c r="C163" s="6" t="s">
        <v>127</v>
      </c>
      <c r="D163" s="40">
        <v>45544</v>
      </c>
      <c r="F163" s="5" t="str">
        <f t="shared" ca="1" si="34"/>
        <v xml:space="preserve">3  m 7  D </v>
      </c>
      <c r="G163" s="5">
        <v>1367</v>
      </c>
      <c r="H163" s="5">
        <v>79118</v>
      </c>
      <c r="I163" s="22">
        <f>'اسيوط الوادي'!$G174/'اسيوط الوادي'!$H174</f>
        <v>2.3599731506440649E-2</v>
      </c>
      <c r="J163" s="5">
        <v>465</v>
      </c>
      <c r="K163" s="5">
        <v>2854</v>
      </c>
      <c r="L163" s="5">
        <v>3</v>
      </c>
      <c r="M163" s="5">
        <v>60</v>
      </c>
      <c r="N163" s="42">
        <v>0</v>
      </c>
      <c r="O163" s="5">
        <v>13</v>
      </c>
      <c r="P163" s="5">
        <v>591</v>
      </c>
      <c r="Q163" s="5" t="s">
        <v>10</v>
      </c>
      <c r="R163" s="5" t="s">
        <v>90</v>
      </c>
      <c r="S163" s="5" t="s">
        <v>151</v>
      </c>
      <c r="T163" s="43">
        <f t="shared" si="35"/>
        <v>45574</v>
      </c>
      <c r="U163" s="5" t="str" cm="1">
        <f t="array" ref="U163">IFERROR(MID(S163,MATCH(TRUE,ISNUMBER(1*MID(S163,ROW($1:$10),1)),0),COUNT(1*MID(S163,ROW($1:$10),1))),"غير محدد")</f>
        <v>1</v>
      </c>
      <c r="V163" s="32" t="s">
        <v>57</v>
      </c>
      <c r="W163" s="26">
        <f>'اسيوط الوادي'!$K174/'اسيوط الوادي'!$P174</f>
        <v>4.1606714628297361</v>
      </c>
      <c r="X163" s="22">
        <f t="shared" si="36"/>
        <v>0</v>
      </c>
      <c r="Y163" s="22">
        <f t="shared" si="37"/>
        <v>0.05</v>
      </c>
      <c r="Z163" s="26">
        <f t="shared" si="38"/>
        <v>2.7956989247311829E-2</v>
      </c>
      <c r="AA163" s="22" t="str">
        <f t="shared" ca="1" si="39"/>
        <v xml:space="preserve">7   </v>
      </c>
      <c r="AB163" s="5"/>
      <c r="AC163" s="5"/>
    </row>
    <row r="164" spans="1:29" ht="25.15" customHeight="1" x14ac:dyDescent="0.2">
      <c r="A164" s="5" t="s">
        <v>192</v>
      </c>
      <c r="B164" s="5" t="s">
        <v>15</v>
      </c>
      <c r="C164" s="6" t="s">
        <v>127</v>
      </c>
      <c r="D164" s="40">
        <v>45719</v>
      </c>
      <c r="F164" s="5" t="str">
        <f t="shared" ca="1" si="34"/>
        <v xml:space="preserve">9  m 13  D </v>
      </c>
      <c r="G164" s="5">
        <v>6057</v>
      </c>
      <c r="H164" s="5">
        <v>62506</v>
      </c>
      <c r="I164" s="22">
        <f>'اسيوط الوادي'!$G171/'اسيوط الوادي'!$H171</f>
        <v>2.0745692387483432E-3</v>
      </c>
      <c r="J164" s="5">
        <v>120</v>
      </c>
      <c r="K164" s="5">
        <v>4420</v>
      </c>
      <c r="L164" s="5">
        <v>21</v>
      </c>
      <c r="M164" s="5">
        <v>72</v>
      </c>
      <c r="N164" s="42">
        <v>0</v>
      </c>
      <c r="O164" s="5">
        <v>28</v>
      </c>
      <c r="P164" s="5">
        <v>399</v>
      </c>
      <c r="Q164" s="5" t="s">
        <v>25</v>
      </c>
      <c r="R164" s="5" t="s">
        <v>90</v>
      </c>
      <c r="S164" s="5" t="s">
        <v>151</v>
      </c>
      <c r="T164" s="43">
        <f t="shared" si="35"/>
        <v>45750</v>
      </c>
      <c r="U164" s="5" t="str" cm="1">
        <f t="array" ref="U164">IFERROR(MID(S164,MATCH(TRUE,ISNUMBER(1*MID(S164,ROW($1:$10),1)),0),COUNT(1*MID(S164,ROW($1:$10),1))),"غير محدد")</f>
        <v>1</v>
      </c>
      <c r="V164" s="32" t="s">
        <v>57</v>
      </c>
      <c r="W164" s="26">
        <f>'اسيوط الوادي'!$K171/'اسيوط الوادي'!$P171</f>
        <v>4.0167973124300111</v>
      </c>
      <c r="X164" s="22">
        <f t="shared" si="36"/>
        <v>0</v>
      </c>
      <c r="Y164" s="22">
        <f t="shared" si="37"/>
        <v>0.29166666666666669</v>
      </c>
      <c r="Z164" s="26">
        <f t="shared" si="38"/>
        <v>0.23333333333333334</v>
      </c>
      <c r="AA164" s="22" t="str">
        <f t="shared" ca="1" si="39"/>
        <v xml:space="preserve">13   </v>
      </c>
      <c r="AB164" s="5"/>
      <c r="AC164" s="5"/>
    </row>
    <row r="165" spans="1:29" ht="25.15" customHeight="1" x14ac:dyDescent="0.2">
      <c r="A165" s="5" t="s">
        <v>192</v>
      </c>
      <c r="B165" s="5" t="s">
        <v>24</v>
      </c>
      <c r="C165" s="6" t="s">
        <v>127</v>
      </c>
      <c r="D165" s="40">
        <v>45544</v>
      </c>
      <c r="F165" s="5" t="str">
        <f t="shared" ca="1" si="34"/>
        <v xml:space="preserve">3  m 7  D </v>
      </c>
      <c r="G165" s="5">
        <v>1303</v>
      </c>
      <c r="H165" s="5">
        <v>82652</v>
      </c>
      <c r="I165" s="22">
        <f>'اسيوط الوادي'!$G173/'اسيوط الوادي'!$H173</f>
        <v>1.287318836692878E-2</v>
      </c>
      <c r="J165" s="5">
        <v>688</v>
      </c>
      <c r="K165" s="5">
        <v>2977</v>
      </c>
      <c r="L165" s="5">
        <v>5</v>
      </c>
      <c r="M165" s="5">
        <v>92</v>
      </c>
      <c r="N165" s="42">
        <v>0</v>
      </c>
      <c r="O165" s="5">
        <v>11</v>
      </c>
      <c r="P165" s="5">
        <v>666</v>
      </c>
      <c r="Q165" s="5" t="s">
        <v>10</v>
      </c>
      <c r="R165" s="5" t="s">
        <v>90</v>
      </c>
      <c r="S165" s="5" t="s">
        <v>151</v>
      </c>
      <c r="T165" s="43">
        <f t="shared" si="35"/>
        <v>45574</v>
      </c>
      <c r="U165" s="5" t="str" cm="1">
        <f t="array" ref="U165">IFERROR(MID(S165,MATCH(TRUE,ISNUMBER(1*MID(S165,ROW($1:$10),1)),0),COUNT(1*MID(S165,ROW($1:$10),1))),"غير محدد")</f>
        <v>1</v>
      </c>
      <c r="V165" s="32" t="s">
        <v>93</v>
      </c>
      <c r="W165" s="26">
        <f>'اسيوط الوادي'!$K173/'اسيوط الوادي'!$P173</f>
        <v>9.3695652173913047</v>
      </c>
      <c r="X165" s="22">
        <f t="shared" si="36"/>
        <v>0</v>
      </c>
      <c r="Y165" s="22">
        <f t="shared" si="37"/>
        <v>5.434782608695652E-2</v>
      </c>
      <c r="Z165" s="26">
        <f t="shared" si="38"/>
        <v>1.5988372093023256E-2</v>
      </c>
      <c r="AA165" s="22" t="str">
        <f t="shared" ca="1" si="39"/>
        <v xml:space="preserve">7   </v>
      </c>
      <c r="AB165" s="5"/>
      <c r="AC165" s="5"/>
    </row>
    <row r="166" spans="1:29" ht="25.15" customHeight="1" x14ac:dyDescent="0.2">
      <c r="A166" s="5" t="s">
        <v>192</v>
      </c>
      <c r="B166" s="5" t="s">
        <v>24</v>
      </c>
      <c r="C166" s="6" t="s">
        <v>127</v>
      </c>
      <c r="D166" s="40">
        <v>45874</v>
      </c>
      <c r="F166" s="5" t="str">
        <f t="shared" ref="F166:F175" ca="1" si="40">IFERROR(DATEDIF(D166,TODAY(),"YM") &amp; "  m " &amp; DATEDIF(D166,TODAY(),"MD") &amp; "  D "," ")</f>
        <v xml:space="preserve">4  m 11  D </v>
      </c>
      <c r="G166" s="5">
        <v>717</v>
      </c>
      <c r="H166" s="5">
        <v>113260</v>
      </c>
      <c r="I166" s="22">
        <f>'اسيوط الوادي'!$G174/'اسيوط الوادي'!$H174</f>
        <v>2.3599731506440649E-2</v>
      </c>
      <c r="J166" s="5">
        <v>433</v>
      </c>
      <c r="K166" s="5">
        <v>11823</v>
      </c>
      <c r="L166" s="5">
        <v>30</v>
      </c>
      <c r="M166" s="5">
        <v>251</v>
      </c>
      <c r="N166" s="42">
        <v>0</v>
      </c>
      <c r="O166" s="5">
        <v>40</v>
      </c>
      <c r="P166" s="5">
        <v>760</v>
      </c>
      <c r="Q166" s="5" t="s">
        <v>25</v>
      </c>
      <c r="R166" s="5" t="s">
        <v>90</v>
      </c>
      <c r="S166" s="5" t="s">
        <v>151</v>
      </c>
      <c r="T166" s="43">
        <f t="shared" ref="T166:T175" si="41">IFERROR(IF(V166&gt;=1,EDATE(D166,U166),"غير محدد"),"غير محدد")</f>
        <v>45905</v>
      </c>
      <c r="U166" s="5" t="str" cm="1">
        <f t="array" ref="U166">IFERROR(MID(S166,MATCH(TRUE,ISNUMBER(1*MID(S166,ROW($1:$10),1)),0),COUNT(1*MID(S166,ROW($1:$10),1))),"غير محدد")</f>
        <v>1</v>
      </c>
      <c r="V166" s="32" t="s">
        <v>57</v>
      </c>
      <c r="W166" s="26">
        <f>'اسيوط الوادي'!$K174/'اسيوط الوادي'!$P174</f>
        <v>4.1606714628297361</v>
      </c>
      <c r="X166" s="22">
        <f t="shared" ref="X166:X175" si="42">N166/L166</f>
        <v>0</v>
      </c>
      <c r="Y166" s="22">
        <f t="shared" ref="Y166:Y175" si="43">L166/M166</f>
        <v>0.11952191235059761</v>
      </c>
      <c r="Z166" s="26">
        <f t="shared" ref="Z166:Z175" si="44">O166/J166</f>
        <v>9.237875288683603E-2</v>
      </c>
      <c r="AA166" s="22" t="str">
        <f t="shared" ref="AA166:AA175" ca="1" si="45">IFERROR(DATEDIF(T166,TODAY(),"MD") &amp; "   ","0 ")</f>
        <v xml:space="preserve">11   </v>
      </c>
      <c r="AB166" s="5"/>
      <c r="AC166" s="5"/>
    </row>
    <row r="167" spans="1:29" ht="25.15" customHeight="1" x14ac:dyDescent="0.2">
      <c r="A167" s="5" t="s">
        <v>192</v>
      </c>
      <c r="B167" s="5" t="s">
        <v>38</v>
      </c>
      <c r="C167" s="6" t="s">
        <v>127</v>
      </c>
      <c r="D167" s="40">
        <v>45544</v>
      </c>
      <c r="F167" s="5" t="str">
        <f t="shared" ca="1" si="40"/>
        <v xml:space="preserve">3  m 7  D </v>
      </c>
      <c r="G167" s="5">
        <v>1591</v>
      </c>
      <c r="H167" s="5">
        <v>84104</v>
      </c>
      <c r="I167" s="22">
        <f>'اسيوط الوادي'!$G172/'اسيوط الوادي'!$H172</f>
        <v>4.5647136137244054E-2</v>
      </c>
      <c r="J167" s="5">
        <v>998</v>
      </c>
      <c r="K167" s="5">
        <v>2919</v>
      </c>
      <c r="L167" s="5">
        <v>5</v>
      </c>
      <c r="M167" s="5">
        <v>108</v>
      </c>
      <c r="N167" s="42">
        <v>0</v>
      </c>
      <c r="O167" s="5">
        <v>5</v>
      </c>
      <c r="P167" s="5">
        <v>717</v>
      </c>
      <c r="Q167" s="5" t="s">
        <v>10</v>
      </c>
      <c r="R167" s="5" t="s">
        <v>90</v>
      </c>
      <c r="S167" s="5" t="s">
        <v>151</v>
      </c>
      <c r="T167" s="43">
        <f t="shared" si="41"/>
        <v>45574</v>
      </c>
      <c r="U167" s="5" t="str" cm="1">
        <f t="array" ref="U167">IFERROR(MID(S167,MATCH(TRUE,ISNUMBER(1*MID(S167,ROW($1:$10),1)),0),COUNT(1*MID(S167,ROW($1:$10),1))),"غير محدد")</f>
        <v>1</v>
      </c>
      <c r="V167" s="32" t="s">
        <v>93</v>
      </c>
      <c r="W167" s="26">
        <f>'اسيوط الوادي'!$K172/'اسيوط الوادي'!$P172</f>
        <v>3.2254986990459669</v>
      </c>
      <c r="X167" s="22">
        <f t="shared" si="42"/>
        <v>0</v>
      </c>
      <c r="Y167" s="22">
        <f t="shared" si="43"/>
        <v>4.6296296296296294E-2</v>
      </c>
      <c r="Z167" s="26">
        <f t="shared" si="44"/>
        <v>5.0100200400801601E-3</v>
      </c>
      <c r="AA167" s="22" t="str">
        <f t="shared" ca="1" si="45"/>
        <v xml:space="preserve">7   </v>
      </c>
      <c r="AB167" s="5"/>
      <c r="AC167" s="5"/>
    </row>
    <row r="168" spans="1:29" ht="25.15" customHeight="1" x14ac:dyDescent="0.2">
      <c r="A168" s="5" t="s">
        <v>192</v>
      </c>
      <c r="B168" s="5" t="s">
        <v>38</v>
      </c>
      <c r="C168" s="6" t="s">
        <v>127</v>
      </c>
      <c r="D168" s="40">
        <v>45874</v>
      </c>
      <c r="F168" s="5" t="str">
        <f t="shared" ca="1" si="40"/>
        <v xml:space="preserve">4  m 11  D </v>
      </c>
      <c r="G168" s="5">
        <v>2158</v>
      </c>
      <c r="H168" s="5">
        <v>110675</v>
      </c>
      <c r="I168" s="22">
        <f>'اسيوط الوادي'!$G173/'اسيوط الوادي'!$H173</f>
        <v>1.287318836692878E-2</v>
      </c>
      <c r="J168" s="5">
        <v>262</v>
      </c>
      <c r="K168" s="5">
        <v>13004</v>
      </c>
      <c r="L168" s="5">
        <v>49</v>
      </c>
      <c r="M168" s="5">
        <v>238</v>
      </c>
      <c r="N168" s="42">
        <v>0</v>
      </c>
      <c r="O168" s="5">
        <v>52</v>
      </c>
      <c r="P168" s="5">
        <v>594</v>
      </c>
      <c r="Q168" s="5" t="s">
        <v>25</v>
      </c>
      <c r="R168" s="5" t="s">
        <v>90</v>
      </c>
      <c r="S168" s="5" t="s">
        <v>151</v>
      </c>
      <c r="T168" s="43">
        <f t="shared" si="41"/>
        <v>45905</v>
      </c>
      <c r="U168" s="5" t="str" cm="1">
        <f t="array" ref="U168">IFERROR(MID(S168,MATCH(TRUE,ISNUMBER(1*MID(S168,ROW($1:$10),1)),0),COUNT(1*MID(S168,ROW($1:$10),1))),"غير محدد")</f>
        <v>1</v>
      </c>
      <c r="V168" s="32" t="s">
        <v>57</v>
      </c>
      <c r="W168" s="26">
        <f>'اسيوط الوادي'!$K173/'اسيوط الوادي'!$P173</f>
        <v>9.3695652173913047</v>
      </c>
      <c r="X168" s="22">
        <f t="shared" si="42"/>
        <v>0</v>
      </c>
      <c r="Y168" s="22">
        <f t="shared" si="43"/>
        <v>0.20588235294117646</v>
      </c>
      <c r="Z168" s="26">
        <f t="shared" si="44"/>
        <v>0.19847328244274809</v>
      </c>
      <c r="AA168" s="22" t="str">
        <f t="shared" ca="1" si="45"/>
        <v xml:space="preserve">11   </v>
      </c>
      <c r="AB168" s="5"/>
      <c r="AC168" s="5"/>
    </row>
    <row r="169" spans="1:29" ht="25.15" customHeight="1" x14ac:dyDescent="0.2">
      <c r="A169" s="5" t="s">
        <v>64</v>
      </c>
      <c r="B169" s="5" t="s">
        <v>15</v>
      </c>
      <c r="C169" s="6" t="s">
        <v>19</v>
      </c>
      <c r="D169" s="40">
        <v>45029</v>
      </c>
      <c r="F169" s="5" t="str">
        <f t="shared" ca="1" si="40"/>
        <v xml:space="preserve">8  m 3  D </v>
      </c>
      <c r="G169" s="5">
        <v>236</v>
      </c>
      <c r="H169" s="5">
        <v>84959</v>
      </c>
      <c r="I169" s="22">
        <f>الجدول3[[#This Row],[O2]]/الجدول3[[#This Row],[N2]]</f>
        <v>2.7778104732871151E-3</v>
      </c>
      <c r="J169" s="5">
        <v>22</v>
      </c>
      <c r="K169" s="5">
        <v>3073</v>
      </c>
      <c r="L169" s="5">
        <v>9</v>
      </c>
      <c r="M169" s="5">
        <v>69</v>
      </c>
      <c r="N169" s="42">
        <v>0</v>
      </c>
      <c r="O169" s="5">
        <v>102</v>
      </c>
      <c r="P169" s="5">
        <v>787</v>
      </c>
      <c r="Q169" s="5" t="s">
        <v>11</v>
      </c>
      <c r="R169" s="5">
        <v>2</v>
      </c>
      <c r="S169" s="5" t="s">
        <v>12</v>
      </c>
      <c r="T169" s="43" t="str">
        <f t="shared" si="41"/>
        <v>غير محدد</v>
      </c>
      <c r="U169" s="5" t="str" cm="1">
        <f t="array" ref="U169">IFERROR(MID(S169,MATCH(TRUE,ISNUMBER(1*MID(S169,ROW($1:$10),1)),0),COUNT(1*MID(S169,ROW($1:$10),1))),"غير محدد")</f>
        <v>غير محدد</v>
      </c>
      <c r="V169" s="32" t="s">
        <v>93</v>
      </c>
      <c r="W169" s="26">
        <f>'اسيوط الوادي'!$K162/'اسيوط الوادي'!$P162</f>
        <v>7.9647696476964773</v>
      </c>
      <c r="X169" s="22">
        <f t="shared" si="42"/>
        <v>0</v>
      </c>
      <c r="Y169" s="22">
        <f t="shared" si="43"/>
        <v>0.13043478260869565</v>
      </c>
      <c r="Z169" s="26">
        <f t="shared" si="44"/>
        <v>4.6363636363636367</v>
      </c>
      <c r="AA169" s="22" t="str">
        <f t="shared" ca="1" si="45"/>
        <v xml:space="preserve">0 </v>
      </c>
      <c r="AB169" s="5"/>
      <c r="AC169" s="5"/>
    </row>
    <row r="170" spans="1:29" ht="25.15" customHeight="1" x14ac:dyDescent="0.2">
      <c r="A170" s="5" t="s">
        <v>64</v>
      </c>
      <c r="B170" s="5" t="s">
        <v>15</v>
      </c>
      <c r="C170" s="6" t="s">
        <v>19</v>
      </c>
      <c r="D170" s="40">
        <v>45175</v>
      </c>
      <c r="F170" s="5" t="str">
        <f t="shared" ca="1" si="40"/>
        <v xml:space="preserve">3  m 10  D </v>
      </c>
      <c r="G170" s="5">
        <v>9464</v>
      </c>
      <c r="H170" s="5">
        <v>150898</v>
      </c>
      <c r="I170" s="22">
        <f>الجدول3[[#This Row],[O2]]/الجدول3[[#This Row],[N2]]</f>
        <v>6.2717862397115937E-2</v>
      </c>
      <c r="J170" s="5">
        <v>73</v>
      </c>
      <c r="K170" s="5">
        <v>3980</v>
      </c>
      <c r="L170" s="5">
        <v>21</v>
      </c>
      <c r="M170" s="5">
        <v>39</v>
      </c>
      <c r="N170" s="42">
        <v>0</v>
      </c>
      <c r="O170" s="5">
        <v>21</v>
      </c>
      <c r="P170" s="5">
        <v>1216</v>
      </c>
      <c r="Q170" s="5" t="s">
        <v>25</v>
      </c>
      <c r="R170" s="5" t="s">
        <v>90</v>
      </c>
      <c r="S170" s="5" t="s">
        <v>12</v>
      </c>
      <c r="T170" s="43" t="str">
        <f t="shared" si="41"/>
        <v>غير محدد</v>
      </c>
      <c r="U170" s="5" t="str" cm="1">
        <f t="array" ref="U170">IFERROR(MID(S170,MATCH(TRUE,ISNUMBER(1*MID(S170,ROW($1:$10),1)),0),COUNT(1*MID(S170,ROW($1:$10),1))),"غير محدد")</f>
        <v>غير محدد</v>
      </c>
      <c r="V170" s="32" t="s">
        <v>57</v>
      </c>
      <c r="W170" s="26">
        <f>'اسيوط الوادي'!$K163/'اسيوط الوادي'!$P163</f>
        <v>4.8291032148900168</v>
      </c>
      <c r="X170" s="22">
        <f t="shared" si="42"/>
        <v>0</v>
      </c>
      <c r="Y170" s="22">
        <f t="shared" si="43"/>
        <v>0.53846153846153844</v>
      </c>
      <c r="Z170" s="26">
        <f t="shared" si="44"/>
        <v>0.28767123287671231</v>
      </c>
      <c r="AA170" s="22" t="str">
        <f t="shared" ca="1" si="45"/>
        <v xml:space="preserve">0 </v>
      </c>
      <c r="AB170" s="5"/>
      <c r="AC170" s="5"/>
    </row>
    <row r="171" spans="1:29" ht="25.15" customHeight="1" x14ac:dyDescent="0.25">
      <c r="A171" s="5" t="s">
        <v>64</v>
      </c>
      <c r="B171" s="5" t="s">
        <v>24</v>
      </c>
      <c r="C171" s="6" t="s">
        <v>19</v>
      </c>
      <c r="D171" s="40">
        <v>45029</v>
      </c>
      <c r="F171" s="5" t="str">
        <f t="shared" ca="1" si="40"/>
        <v xml:space="preserve">8  m 3  D </v>
      </c>
      <c r="G171" s="5">
        <v>180</v>
      </c>
      <c r="H171" s="5">
        <v>86765</v>
      </c>
      <c r="I171" s="22">
        <f>الجدول3[[#This Row],[O2]]/الجدول3[[#This Row],[N2]]</f>
        <v>2.0745692387483432E-3</v>
      </c>
      <c r="J171" s="5">
        <v>85</v>
      </c>
      <c r="K171" s="5">
        <v>3587</v>
      </c>
      <c r="L171" s="5">
        <v>5</v>
      </c>
      <c r="M171" s="5">
        <v>60</v>
      </c>
      <c r="N171" s="42">
        <v>1</v>
      </c>
      <c r="O171" s="5">
        <v>101</v>
      </c>
      <c r="P171" s="5">
        <v>893</v>
      </c>
      <c r="Q171" s="5" t="s">
        <v>11</v>
      </c>
      <c r="R171" s="5">
        <v>2</v>
      </c>
      <c r="S171" s="5" t="s">
        <v>12</v>
      </c>
      <c r="T171" s="43" t="str">
        <f t="shared" si="41"/>
        <v>غير محدد</v>
      </c>
      <c r="U171" s="5" t="str" cm="1">
        <f t="array" ref="U171">IFERROR(MID(S171,MATCH(TRUE,ISNUMBER(1*MID(S171,ROW($1:$10),1)),0),COUNT(1*MID(S171,ROW($1:$10),1))),"غير محدد")</f>
        <v>غير محدد</v>
      </c>
      <c r="V171" s="32" t="s">
        <v>93</v>
      </c>
      <c r="W171" s="26">
        <f>'اسيوط الوادي'!$K164/'اسيوط الوادي'!$P164</f>
        <v>11.077694235588972</v>
      </c>
      <c r="X171" s="22">
        <f t="shared" si="42"/>
        <v>0.2</v>
      </c>
      <c r="Y171" s="22">
        <f t="shared" si="43"/>
        <v>8.3333333333333329E-2</v>
      </c>
      <c r="Z171" s="26">
        <f t="shared" si="44"/>
        <v>1.1882352941176471</v>
      </c>
      <c r="AA171" s="22" t="str">
        <f t="shared" ca="1" si="45"/>
        <v xml:space="preserve">0 </v>
      </c>
    </row>
    <row r="172" spans="1:29" ht="25.15" customHeight="1" x14ac:dyDescent="0.25">
      <c r="A172" s="5" t="s">
        <v>64</v>
      </c>
      <c r="B172" s="5" t="s">
        <v>24</v>
      </c>
      <c r="C172" s="6" t="s">
        <v>19</v>
      </c>
      <c r="D172" s="40">
        <v>45175</v>
      </c>
      <c r="F172" s="5" t="str">
        <f t="shared" ca="1" si="40"/>
        <v xml:space="preserve">3  m 10  D </v>
      </c>
      <c r="G172" s="5">
        <v>5279</v>
      </c>
      <c r="H172" s="5">
        <v>115648</v>
      </c>
      <c r="I172" s="22">
        <f>الجدول3[[#This Row],[O2]]/الجدول3[[#This Row],[N2]]</f>
        <v>4.5647136137244054E-2</v>
      </c>
      <c r="J172" s="5">
        <v>101</v>
      </c>
      <c r="K172" s="5">
        <v>3719</v>
      </c>
      <c r="L172" s="5">
        <v>11</v>
      </c>
      <c r="M172" s="5">
        <v>38</v>
      </c>
      <c r="N172" s="42">
        <v>0</v>
      </c>
      <c r="O172" s="5">
        <v>19</v>
      </c>
      <c r="P172" s="5">
        <v>1153</v>
      </c>
      <c r="Q172" s="5" t="s">
        <v>25</v>
      </c>
      <c r="R172" s="5" t="s">
        <v>90</v>
      </c>
      <c r="S172" s="5" t="s">
        <v>12</v>
      </c>
      <c r="T172" s="43" t="str">
        <f t="shared" si="41"/>
        <v>غير محدد</v>
      </c>
      <c r="U172" s="5" t="str" cm="1">
        <f t="array" ref="U172">IFERROR(MID(S172,MATCH(TRUE,ISNUMBER(1*MID(S172,ROW($1:$10),1)),0),COUNT(1*MID(S172,ROW($1:$10),1))),"غير محدد")</f>
        <v>غير محدد</v>
      </c>
      <c r="V172" s="32" t="s">
        <v>57</v>
      </c>
      <c r="W172" s="26">
        <f>'اسيوط الوادي'!$K165/'اسيوط الوادي'!$P165</f>
        <v>4.46996996996997</v>
      </c>
      <c r="X172" s="22">
        <f t="shared" si="42"/>
        <v>0</v>
      </c>
      <c r="Y172" s="22">
        <f t="shared" si="43"/>
        <v>0.28947368421052633</v>
      </c>
      <c r="Z172" s="26">
        <f t="shared" si="44"/>
        <v>0.18811881188118812</v>
      </c>
      <c r="AA172" s="22" t="str">
        <f t="shared" ca="1" si="45"/>
        <v xml:space="preserve">0 </v>
      </c>
    </row>
    <row r="173" spans="1:29" ht="25.15" customHeight="1" x14ac:dyDescent="0.25">
      <c r="A173" s="5" t="s">
        <v>64</v>
      </c>
      <c r="B173" s="5" t="s">
        <v>38</v>
      </c>
      <c r="C173" s="6" t="s">
        <v>127</v>
      </c>
      <c r="D173" s="40">
        <v>45029</v>
      </c>
      <c r="F173" s="5" t="str">
        <f t="shared" ca="1" si="40"/>
        <v xml:space="preserve">8  m 3  D </v>
      </c>
      <c r="G173" s="5">
        <v>1200</v>
      </c>
      <c r="H173" s="5">
        <v>93217</v>
      </c>
      <c r="I173" s="22">
        <f>الجدول3[[#This Row],[O2]]/الجدول3[[#This Row],[N2]]</f>
        <v>1.287318836692878E-2</v>
      </c>
      <c r="J173" s="5">
        <v>48</v>
      </c>
      <c r="K173" s="5">
        <v>5603</v>
      </c>
      <c r="L173" s="5">
        <v>25</v>
      </c>
      <c r="M173" s="5">
        <v>40</v>
      </c>
      <c r="N173" s="42">
        <v>0</v>
      </c>
      <c r="O173" s="5">
        <v>58</v>
      </c>
      <c r="P173" s="5">
        <v>598</v>
      </c>
      <c r="Q173" s="5" t="s">
        <v>25</v>
      </c>
      <c r="R173" s="5">
        <v>2</v>
      </c>
      <c r="S173" s="5" t="s">
        <v>12</v>
      </c>
      <c r="T173" s="43" t="str">
        <f t="shared" si="41"/>
        <v>غير محدد</v>
      </c>
      <c r="U173" s="5" t="str" cm="1">
        <f t="array" ref="U173">IFERROR(MID(S173,MATCH(TRUE,ISNUMBER(1*MID(S173,ROW($1:$10),1)),0),COUNT(1*MID(S173,ROW($1:$10),1))),"غير محدد")</f>
        <v>غير محدد</v>
      </c>
      <c r="V173" s="32" t="s">
        <v>93</v>
      </c>
      <c r="W173" s="26">
        <f>'اسيوط الوادي'!$K167/'اسيوط الوادي'!$P167</f>
        <v>4.0711297071129708</v>
      </c>
      <c r="X173" s="22">
        <f t="shared" si="42"/>
        <v>0</v>
      </c>
      <c r="Y173" s="22">
        <f t="shared" si="43"/>
        <v>0.625</v>
      </c>
      <c r="Z173" s="26">
        <f t="shared" si="44"/>
        <v>1.2083333333333333</v>
      </c>
      <c r="AA173" s="22" t="str">
        <f t="shared" ca="1" si="45"/>
        <v xml:space="preserve">0 </v>
      </c>
    </row>
    <row r="174" spans="1:29" ht="25.15" customHeight="1" x14ac:dyDescent="0.25">
      <c r="A174" s="5" t="s">
        <v>64</v>
      </c>
      <c r="B174" s="5" t="s">
        <v>38</v>
      </c>
      <c r="C174" s="6" t="s">
        <v>127</v>
      </c>
      <c r="D174" s="40">
        <v>45544</v>
      </c>
      <c r="F174" s="5" t="str">
        <f t="shared" ca="1" si="40"/>
        <v xml:space="preserve">3  m 7  D </v>
      </c>
      <c r="G174" s="5">
        <v>2215</v>
      </c>
      <c r="H174" s="5">
        <v>93857</v>
      </c>
      <c r="I174" s="22">
        <f>الجدول3[[#This Row],[O2]]/الجدول3[[#This Row],[N2]]</f>
        <v>2.3599731506440649E-2</v>
      </c>
      <c r="J174" s="5">
        <v>149</v>
      </c>
      <c r="K174" s="5">
        <v>3470</v>
      </c>
      <c r="L174" s="5">
        <v>6</v>
      </c>
      <c r="M174" s="5">
        <v>35</v>
      </c>
      <c r="N174" s="42">
        <v>0</v>
      </c>
      <c r="O174" s="5">
        <v>29</v>
      </c>
      <c r="P174" s="5">
        <v>834</v>
      </c>
      <c r="Q174" s="5" t="s">
        <v>10</v>
      </c>
      <c r="R174" s="5" t="s">
        <v>90</v>
      </c>
      <c r="S174" s="5" t="s">
        <v>151</v>
      </c>
      <c r="T174" s="43">
        <f t="shared" si="41"/>
        <v>45574</v>
      </c>
      <c r="U174" s="5" t="str" cm="1">
        <f t="array" ref="U174">IFERROR(MID(S174,MATCH(TRUE,ISNUMBER(1*MID(S174,ROW($1:$10),1)),0),COUNT(1*MID(S174,ROW($1:$10),1))),"غير محدد")</f>
        <v>1</v>
      </c>
      <c r="V174" s="32" t="s">
        <v>57</v>
      </c>
      <c r="W174" s="26">
        <f>'اسيوط الوادي'!$K169/'اسيوط الوادي'!$P169</f>
        <v>3.9047013977128335</v>
      </c>
      <c r="X174" s="22">
        <f t="shared" si="42"/>
        <v>0</v>
      </c>
      <c r="Y174" s="22">
        <f t="shared" si="43"/>
        <v>0.17142857142857143</v>
      </c>
      <c r="Z174" s="26">
        <f t="shared" si="44"/>
        <v>0.19463087248322147</v>
      </c>
      <c r="AA174" s="22" t="str">
        <f t="shared" ca="1" si="45"/>
        <v xml:space="preserve">7   </v>
      </c>
    </row>
    <row r="175" spans="1:29" ht="25.15" customHeight="1" x14ac:dyDescent="0.25">
      <c r="A175" s="5" t="s">
        <v>64</v>
      </c>
      <c r="B175" s="5" t="s">
        <v>39</v>
      </c>
      <c r="C175" s="6" t="s">
        <v>127</v>
      </c>
      <c r="D175" s="40">
        <v>45175</v>
      </c>
      <c r="F175" s="5" t="str">
        <f t="shared" ca="1" si="40"/>
        <v xml:space="preserve">3  m 10  D </v>
      </c>
      <c r="G175" s="5">
        <v>3440</v>
      </c>
      <c r="H175" s="5">
        <v>80038</v>
      </c>
      <c r="I175" s="22">
        <f>الجدول3[[#This Row],[O2]]/الجدول3[[#This Row],[N2]]</f>
        <v>4.2979584697268799E-2</v>
      </c>
      <c r="J175" s="5">
        <v>233</v>
      </c>
      <c r="K175" s="5">
        <v>4410</v>
      </c>
      <c r="L175" s="5">
        <v>13</v>
      </c>
      <c r="M175" s="5">
        <v>30</v>
      </c>
      <c r="N175" s="42">
        <v>0</v>
      </c>
      <c r="O175" s="5">
        <v>9</v>
      </c>
      <c r="P175" s="5">
        <v>707</v>
      </c>
      <c r="Q175" s="5" t="s">
        <v>13</v>
      </c>
      <c r="R175" s="5" t="s">
        <v>90</v>
      </c>
      <c r="S175" s="5" t="s">
        <v>12</v>
      </c>
      <c r="T175" s="43" t="str">
        <f t="shared" si="41"/>
        <v>غير محدد</v>
      </c>
      <c r="U175" s="5" t="str" cm="1">
        <f t="array" ref="U175">IFERROR(MID(S175,MATCH(TRUE,ISNUMBER(1*MID(S175,ROW($1:$10),1)),0),COUNT(1*MID(S175,ROW($1:$10),1))),"غير محدد")</f>
        <v>غير محدد</v>
      </c>
      <c r="V175" s="32" t="s">
        <v>57</v>
      </c>
      <c r="W175" s="26">
        <f>'اسيوط الوادي'!$K170/'اسيوط الوادي'!$P170</f>
        <v>3.2730263157894739</v>
      </c>
      <c r="X175" s="22">
        <f t="shared" si="42"/>
        <v>0</v>
      </c>
      <c r="Y175" s="22">
        <f t="shared" si="43"/>
        <v>0.43333333333333335</v>
      </c>
      <c r="Z175" s="26">
        <f t="shared" si="44"/>
        <v>3.8626609442060089E-2</v>
      </c>
      <c r="AA175" s="22" t="str">
        <f t="shared" ca="1" si="45"/>
        <v xml:space="preserve">0 </v>
      </c>
    </row>
  </sheetData>
  <phoneticPr fontId="3" type="noConversion"/>
  <conditionalFormatting sqref="I2:I175">
    <cfRule type="cellIs" dxfId="19" priority="18" operator="lessThan">
      <formula>0.2</formula>
    </cfRule>
    <cfRule type="cellIs" dxfId="18" priority="36" operator="greaterThanOrEqual">
      <formula>0.2</formula>
    </cfRule>
  </conditionalFormatting>
  <conditionalFormatting sqref="J2:J175">
    <cfRule type="expression" dxfId="17" priority="93">
      <formula>IF($I2&lt;0.2,$J2&gt;80)</formula>
    </cfRule>
    <cfRule type="expression" dxfId="16" priority="94">
      <formula>IF($I2&gt;=0.2,$J2&gt;40)</formula>
    </cfRule>
  </conditionalFormatting>
  <conditionalFormatting sqref="K2:K175">
    <cfRule type="expression" dxfId="15" priority="95">
      <formula>IF($I2&gt;=0.2,$K2&gt;5000)</formula>
    </cfRule>
    <cfRule type="expression" dxfId="14" priority="96">
      <formula>IF($I2&lt;0.2,$K2&gt;9000)</formula>
    </cfRule>
  </conditionalFormatting>
  <conditionalFormatting sqref="L2:L175">
    <cfRule type="expression" dxfId="13" priority="97">
      <formula>IF($I2&gt;=0.2,$L2&gt;50)</formula>
    </cfRule>
    <cfRule type="expression" dxfId="12" priority="98">
      <formula>IF($I2&lt;0.2,$L2&gt;50)</formula>
    </cfRule>
  </conditionalFormatting>
  <conditionalFormatting sqref="M2:M175">
    <cfRule type="expression" dxfId="11" priority="99">
      <formula>IF($I2&gt;=0.2,$M2&gt;15)</formula>
    </cfRule>
    <cfRule type="expression" dxfId="10" priority="100">
      <formula>IF($I2&lt;0.2,$M2&gt;90)</formula>
    </cfRule>
  </conditionalFormatting>
  <conditionalFormatting sqref="N2:N175">
    <cfRule type="cellIs" dxfId="9" priority="19" operator="greaterThanOrEqual">
      <formula>1</formula>
    </cfRule>
  </conditionalFormatting>
  <conditionalFormatting sqref="O2:O175">
    <cfRule type="expression" dxfId="8" priority="101">
      <formula>IF($I2&gt;=0.2,$O2&gt;20)</formula>
    </cfRule>
    <cfRule type="expression" dxfId="7" priority="102">
      <formula>IF($I2&lt;0.2,$O2&gt;90)</formula>
    </cfRule>
  </conditionalFormatting>
  <conditionalFormatting sqref="P2:R175">
    <cfRule type="expression" dxfId="6" priority="2">
      <formula>IF($I2&gt;=0.2,$P2&gt;500)</formula>
    </cfRule>
    <cfRule type="expression" dxfId="5" priority="3">
      <formula>IF($I2&lt;0.2,$P2&gt;900)</formula>
    </cfRule>
  </conditionalFormatting>
  <conditionalFormatting sqref="Q1:R175 V1:Z175">
    <cfRule type="containsText" dxfId="4" priority="1" operator="containsText" text="يحتاج الى إعادة">
      <formula>NOT(ISERROR(SEARCH("يحتاج الى إعادة",Q1)))</formula>
    </cfRule>
  </conditionalFormatting>
  <conditionalFormatting sqref="S2:S175 U2:U175">
    <cfRule type="containsText" dxfId="3" priority="32" operator="containsText" text="F">
      <formula>NOT(ISERROR(SEARCH("F",S2)))</formula>
    </cfRule>
    <cfRule type="containsText" dxfId="2" priority="33" operator="containsText" text="R">
      <formula>NOT(ISERROR(SEARCH("R",S2)))</formula>
    </cfRule>
  </conditionalFormatting>
  <conditionalFormatting sqref="T2:T175">
    <cfRule type="expression" dxfId="1" priority="13">
      <formula>$AA2&gt;="1"</formula>
    </cfRule>
  </conditionalFormatting>
  <conditionalFormatting sqref="AI171:AI1048576">
    <cfRule type="containsText" dxfId="0" priority="17" operator="containsText" text="يحتاج الى إعادة">
      <formula>NOT(ISERROR(SEARCH("يحتاج الى إعادة",AI171)))</formula>
    </cfRule>
  </conditionalFormatting>
  <pageMargins left="0.23622047244094491" right="0.23622047244094491" top="0.74803149606299213" bottom="1.1417322834645669" header="0.31496062992125984" footer="0.31496062992125984"/>
  <pageSetup paperSize="9" scale="21" fitToHeight="2" orientation="landscape" r:id="rId1"/>
  <headerFooter>
    <oddFooter>&amp;C&amp;G</oddFooter>
  </headerFooter>
  <rowBreaks count="1" manualBreakCount="1">
    <brk id="93" max="18" man="1"/>
  </rowBreak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��,HD)*,/ GF' H5A'K DD,HD)7(B)
</file>

<file path=customXml/item2.xml>��,HD)*,/ GF' H5A'K DD,HD)
</file>

<file path=customXml/itemProps1.xml><?xml version="1.0" encoding="utf-8"?>
<ds:datastoreItem xmlns:ds="http://schemas.openxmlformats.org/officeDocument/2006/customXml" ds:itemID="{F5068AAE-C04D-45B2-A208-DCD1C3C679CE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6C94D82E-44F6-48DA-A802-124B083881C3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6</vt:i4>
      </vt:variant>
    </vt:vector>
  </HeadingPairs>
  <TitlesOfParts>
    <vt:vector size="9" baseType="lpstr">
      <vt:lpstr>الشمالي</vt:lpstr>
      <vt:lpstr>المنيا</vt:lpstr>
      <vt:lpstr>اسيوط الوادي</vt:lpstr>
      <vt:lpstr>'اسيوط الوادي'!Print_Area</vt:lpstr>
      <vt:lpstr>الشمالي!Print_Area</vt:lpstr>
      <vt:lpstr>المنيا!Print_Area</vt:lpstr>
      <vt:lpstr>'اسيوط الوادي'!Print_Titles</vt:lpstr>
      <vt:lpstr>الشمالي!Print_Titles</vt:lpstr>
      <vt:lpstr>المنيا!Print_Titles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2025-12-16T08:16:53Z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2023-12-26T08:03:38Z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2dad879b-1d1d-4b43-b803-963b045e3892</vt:lpwstr>
  </property>
  <property fmtid="{D5CDD505-2E9C-101B-9397-08002B2CF9AE}" pid="7" name="MSIP_Label_defa4170-0d19-0005-0004-bc88714345d2_ActionId">
    <vt:lpwstr>d4c029a0-37d3-4aff-bc42-62a15d899353</vt:lpwstr>
  </property>
  <property fmtid="{D5CDD505-2E9C-101B-9397-08002B2CF9AE}" pid="8" name="MSIP_Label_defa4170-0d19-0005-0004-bc88714345d2_ContentBits">
    <vt:lpwstr>0</vt:lpwstr>
  </property>
</Properties>
</file>